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Market Indexes" sheetId="1" r:id="rId4"/>
  </sheets>
  <definedNames/>
  <calcPr/>
</workbook>
</file>

<file path=xl/sharedStrings.xml><?xml version="1.0" encoding="utf-8"?>
<sst xmlns="http://schemas.openxmlformats.org/spreadsheetml/2006/main" count="47" uniqueCount="33">
  <si>
    <t>colonne standardizzate:</t>
  </si>
  <si>
    <t>base 100</t>
  </si>
  <si>
    <t>medie settimali</t>
  </si>
  <si>
    <t>Date</t>
  </si>
  <si>
    <t xml:space="preserve">S&amp;P 500 </t>
  </si>
  <si>
    <t>Nasdaq</t>
  </si>
  <si>
    <t>Dow Jones</t>
  </si>
  <si>
    <t>MIB</t>
  </si>
  <si>
    <t>CORRELAZIONI</t>
  </si>
  <si>
    <t>S&amp;P 500</t>
  </si>
  <si>
    <t xml:space="preserve"> S&amp;P 500</t>
  </si>
  <si>
    <t>settimane</t>
  </si>
  <si>
    <t>2025-09-23</t>
  </si>
  <si>
    <t>sett 1</t>
  </si>
  <si>
    <t>2025-09-24</t>
  </si>
  <si>
    <t>2025-09-25</t>
  </si>
  <si>
    <t>2025-09-26</t>
  </si>
  <si>
    <t>2025-09-29</t>
  </si>
  <si>
    <t>sett 2</t>
  </si>
  <si>
    <t>sett 3</t>
  </si>
  <si>
    <t>sett 4</t>
  </si>
  <si>
    <t>sett 5</t>
  </si>
  <si>
    <t>sett 6</t>
  </si>
  <si>
    <t>sett 7</t>
  </si>
  <si>
    <t>sett 8</t>
  </si>
  <si>
    <t>sett 9</t>
  </si>
  <si>
    <t>sett 10</t>
  </si>
  <si>
    <t>sett 11</t>
  </si>
  <si>
    <t>sett 12</t>
  </si>
  <si>
    <t>sett 13</t>
  </si>
  <si>
    <t>sett 14</t>
  </si>
  <si>
    <t>sett 15</t>
  </si>
  <si>
    <t>sett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</si>
</sst>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yyyy-mm-dd"/>
    <numFmt numFmtId="166" formatCode="yyyy-m-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0" fillId="6" fontId="1" numFmtId="164" xfId="0" applyAlignment="1" applyFill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6" fontId="1" numFmtId="0" xfId="0" applyAlignment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Border="1" applyFont="1"/>
    <xf borderId="1" fillId="0" fontId="1" numFmtId="164" xfId="0" applyBorder="1" applyFont="1" applyNumberFormat="1"/>
    <xf borderId="2" fillId="0" fontId="1" numFmtId="164" xfId="0" applyBorder="1" applyFont="1" applyNumberFormat="1"/>
    <xf borderId="3" fillId="0" fontId="1" numFmtId="164" xfId="0" applyBorder="1" applyFont="1" applyNumberFormat="1"/>
    <xf borderId="0" fillId="0" fontId="1" numFmtId="164" xfId="0" applyFont="1" applyNumberFormat="1"/>
    <xf borderId="4" fillId="3" fontId="1" numFmtId="0" xfId="0" applyAlignment="1" applyBorder="1" applyFont="1">
      <alignment readingOrder="0"/>
    </xf>
    <xf borderId="4" fillId="0" fontId="1" numFmtId="164" xfId="0" applyBorder="1" applyFont="1" applyNumberFormat="1"/>
    <xf borderId="5" fillId="0" fontId="1" numFmtId="164" xfId="0" applyBorder="1" applyFont="1" applyNumberFormat="1"/>
    <xf borderId="4" fillId="4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Alignment="1" applyBorder="1" applyFont="1">
      <alignment readingOrder="0"/>
    </xf>
    <xf borderId="6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4" fillId="0" fontId="1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166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7" fontId="0" numFmtId="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S&amp;P 500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'Stock Market Indexes'!$A$2:$A$997</c:f>
            </c:strRef>
          </c:cat>
          <c:val>
            <c:numRef>
              <c:f>'Stock Market Indexes'!$B$2:$B$997</c:f>
              <c:numCache/>
            </c:numRef>
          </c:val>
          <c:smooth val="0"/>
        </c:ser>
        <c:axId val="1967838449"/>
        <c:axId val="1543608940"/>
      </c:lineChart>
      <c:catAx>
        <c:axId val="1967838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608940"/>
      </c:catAx>
      <c:valAx>
        <c:axId val="1543608940"/>
        <c:scaling>
          <c:orientation val="minMax"/>
          <c:min val="65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838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Nasdaq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'Stock Market Indexes'!$A$2:$A$997</c:f>
            </c:strRef>
          </c:cat>
          <c:val>
            <c:numRef>
              <c:f>'Stock Market Indexes'!$C$2:$C$997</c:f>
              <c:numCache/>
            </c:numRef>
          </c:val>
          <c:smooth val="0"/>
        </c:ser>
        <c:axId val="1239094435"/>
        <c:axId val="1008683178"/>
      </c:lineChart>
      <c:catAx>
        <c:axId val="1239094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683178"/>
      </c:catAx>
      <c:valAx>
        <c:axId val="1008683178"/>
        <c:scaling>
          <c:orientation val="minMax"/>
          <c:min val="2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094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Dow Jones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'Stock Market Indexes'!$A$2:$A$997</c:f>
            </c:strRef>
          </c:cat>
          <c:val>
            <c:numRef>
              <c:f>'Stock Market Indexes'!$D$2:$D$997</c:f>
              <c:numCache/>
            </c:numRef>
          </c:val>
          <c:smooth val="0"/>
        </c:ser>
        <c:axId val="1305261061"/>
        <c:axId val="768652523"/>
      </c:lineChart>
      <c:catAx>
        <c:axId val="1305261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652523"/>
      </c:catAx>
      <c:valAx>
        <c:axId val="768652523"/>
        <c:scaling>
          <c:orientation val="minMax"/>
          <c:min val="454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261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MIB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'Stock Market Indexes'!$A$2:$A$997</c:f>
            </c:strRef>
          </c:cat>
          <c:val>
            <c:numRef>
              <c:f>'Stock Market Indexes'!$E$2:$E$997</c:f>
              <c:numCache/>
            </c:numRef>
          </c:val>
          <c:smooth val="0"/>
        </c:ser>
        <c:axId val="583362138"/>
        <c:axId val="1934738974"/>
      </c:lineChart>
      <c:catAx>
        <c:axId val="583362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738974"/>
      </c:catAx>
      <c:valAx>
        <c:axId val="1934738974"/>
        <c:scaling>
          <c:orientation val="minMax"/>
          <c:min val="41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362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Andamento Indici Standardizzati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'Stock Market Indexes'!$V$2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'Stock Market Indexes'!$A$3:$A$997</c:f>
            </c:strRef>
          </c:cat>
          <c:val>
            <c:numRef>
              <c:f>'Stock Market Indexes'!$V$3:$V$997</c:f>
              <c:numCache/>
            </c:numRef>
          </c:val>
          <c:smooth val="0"/>
        </c:ser>
        <c:ser>
          <c:idx val="1"/>
          <c:order val="1"/>
          <c:tx>
            <c:strRef>
              <c:f>'Stock Market Indexes'!$W$2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'Stock Market Indexes'!$A$3:$A$997</c:f>
            </c:strRef>
          </c:cat>
          <c:val>
            <c:numRef>
              <c:f>'Stock Market Indexes'!$W$3:$W$997</c:f>
              <c:numCache/>
            </c:numRef>
          </c:val>
          <c:smooth val="0"/>
        </c:ser>
        <c:ser>
          <c:idx val="2"/>
          <c:order val="2"/>
          <c:tx>
            <c:strRef>
              <c:f>'Stock Market Indexes'!$X$2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'Stock Market Indexes'!$A$3:$A$997</c:f>
            </c:strRef>
          </c:cat>
          <c:val>
            <c:numRef>
              <c:f>'Stock Market Indexes'!$X$3:$X$997</c:f>
              <c:numCache/>
            </c:numRef>
          </c:val>
          <c:smooth val="0"/>
        </c:ser>
        <c:ser>
          <c:idx val="3"/>
          <c:order val="3"/>
          <c:tx>
            <c:strRef>
              <c:f>'Stock Market Indexes'!$Y$2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'Stock Market Indexes'!$A$3:$A$997</c:f>
            </c:strRef>
          </c:cat>
          <c:val>
            <c:numRef>
              <c:f>'Stock Market Indexes'!$Y$3:$Y$997</c:f>
              <c:numCache/>
            </c:numRef>
          </c:val>
          <c:smooth val="0"/>
        </c:ser>
        <c:axId val="1208754686"/>
        <c:axId val="408990551"/>
      </c:lineChart>
      <c:catAx>
        <c:axId val="1208754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990551"/>
      </c:catAx>
      <c:valAx>
        <c:axId val="408990551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754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Variazione settimanale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'Stock Market Indexes'!$AB$1:$AB$2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'Stock Market Indexes'!$AA$3:$AA$18</c:f>
            </c:strRef>
          </c:cat>
          <c:val>
            <c:numRef>
              <c:f>'Stock Market Indexes'!$AB$3:$AB$18</c:f>
              <c:numCache/>
            </c:numRef>
          </c:val>
          <c:smooth val="0"/>
        </c:ser>
        <c:ser>
          <c:idx val="1"/>
          <c:order val="1"/>
          <c:tx>
            <c:strRef>
              <c:f>'Stock Market Indexes'!$AC$1:$AC$2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'Stock Market Indexes'!$AA$3:$AA$18</c:f>
            </c:strRef>
          </c:cat>
          <c:val>
            <c:numRef>
              <c:f>'Stock Market Indexes'!$AC$3:$AC$18</c:f>
              <c:numCache/>
            </c:numRef>
          </c:val>
          <c:smooth val="0"/>
        </c:ser>
        <c:ser>
          <c:idx val="2"/>
          <c:order val="2"/>
          <c:tx>
            <c:strRef>
              <c:f>'Stock Market Indexes'!$AD$1:$AD$2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'Stock Market Indexes'!$AA$3:$AA$18</c:f>
            </c:strRef>
          </c:cat>
          <c:val>
            <c:numRef>
              <c:f>'Stock Market Indexes'!$AD$3:$AD$18</c:f>
              <c:numCache/>
            </c:numRef>
          </c:val>
          <c:smooth val="0"/>
        </c:ser>
        <c:ser>
          <c:idx val="3"/>
          <c:order val="3"/>
          <c:tx>
            <c:strRef>
              <c:f>'Stock Market Indexes'!$AE$1:$AE$2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'Stock Market Indexes'!$AA$3:$AA$18</c:f>
            </c:strRef>
          </c:cat>
          <c:val>
            <c:numRef>
              <c:f>'Stock Market Indexes'!$AE$3:$AE$18</c:f>
              <c:numCache/>
            </c:numRef>
          </c:val>
          <c:smooth val="0"/>
        </c:ser>
        <c:axId val="1735233316"/>
        <c:axId val="820916259"/>
      </c:lineChart>
      <c:catAx>
        <c:axId val="1735233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settimane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916259"/>
      </c:catAx>
      <c:valAx>
        <c:axId val="820916259"/>
        <c:scaling>
          <c:orientation val="minMax"/>
          <c:max val="10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233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7</xdr:row>
      <xdr:rowOff>171450</xdr:rowOff>
    </xdr:from>
    <xdr:ext cx="4371975" cy="26860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209550</xdr:colOff>
      <xdr:row>7</xdr:row>
      <xdr:rowOff>171450</xdr:rowOff>
    </xdr:from>
    <xdr:ext cx="4324350" cy="26860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209550</xdr:colOff>
      <xdr:row>23</xdr:row>
      <xdr:rowOff>0</xdr:rowOff>
    </xdr:from>
    <xdr:ext cx="4324350" cy="268605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542925</xdr:colOff>
      <xdr:row>23</xdr:row>
      <xdr:rowOff>0</xdr:rowOff>
    </xdr:from>
    <xdr:ext cx="4371975" cy="2686050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76200</xdr:colOff>
      <xdr:row>38</xdr:row>
      <xdr:rowOff>19050</xdr:rowOff>
    </xdr:from>
    <xdr:ext cx="7753350" cy="6896100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352425</xdr:colOff>
      <xdr:row>20</xdr:row>
      <xdr:rowOff>123825</xdr:rowOff>
    </xdr:from>
    <xdr:ext cx="6076950" cy="353377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86"/>
    <col customWidth="1" min="3" max="3" width="11.71"/>
    <col customWidth="1" min="4" max="4" width="10.29"/>
    <col customWidth="1" min="5" max="7" width="8.71"/>
    <col customWidth="1" min="8" max="8" width="13.86"/>
    <col customWidth="1" min="9" max="9" width="8.29"/>
    <col customWidth="1" min="10" max="12" width="13.29"/>
    <col customWidth="1" min="13" max="20" width="8.71"/>
    <col customWidth="1" min="21" max="21" width="21.29"/>
    <col customWidth="1" min="22" max="22" width="10.14"/>
    <col customWidth="1" min="23" max="23" width="10.43"/>
    <col customWidth="1" min="24" max="26" width="10.29"/>
    <col customWidth="1" min="27" max="27" width="11.14"/>
    <col customWidth="1" min="28" max="28" width="14.29"/>
    <col customWidth="1" min="29" max="36" width="10.29"/>
  </cols>
  <sheetData>
    <row r="1" ht="14.25" customHeight="1">
      <c r="B1" s="1"/>
      <c r="C1" s="1"/>
      <c r="D1" s="1"/>
      <c r="E1" s="1"/>
      <c r="H1" s="2"/>
      <c r="I1" s="1"/>
      <c r="J1" s="1"/>
      <c r="K1" s="1"/>
      <c r="L1" s="1"/>
      <c r="U1" s="1" t="s">
        <v>0</v>
      </c>
      <c r="V1" s="3" t="s">
        <v>1</v>
      </c>
      <c r="W1" s="3"/>
      <c r="X1" s="3"/>
      <c r="Y1" s="3"/>
      <c r="AB1" s="4" t="s">
        <v>2</v>
      </c>
    </row>
    <row r="2" ht="14.25" customHeight="1">
      <c r="A2" s="5" t="s">
        <v>3</v>
      </c>
      <c r="B2" s="6" t="s">
        <v>4</v>
      </c>
      <c r="C2" s="7" t="s">
        <v>5</v>
      </c>
      <c r="D2" s="8" t="s">
        <v>6</v>
      </c>
      <c r="E2" s="9" t="s">
        <v>7</v>
      </c>
      <c r="H2" s="10" t="s">
        <v>8</v>
      </c>
      <c r="I2" s="11" t="s">
        <v>9</v>
      </c>
      <c r="J2" s="12" t="s">
        <v>5</v>
      </c>
      <c r="K2" s="13" t="s">
        <v>6</v>
      </c>
      <c r="L2" s="14" t="s">
        <v>7</v>
      </c>
      <c r="V2" s="15" t="s">
        <v>10</v>
      </c>
      <c r="W2" s="16" t="s">
        <v>5</v>
      </c>
      <c r="X2" s="17" t="s">
        <v>6</v>
      </c>
      <c r="Y2" s="18" t="s">
        <v>7</v>
      </c>
      <c r="AA2" s="1" t="s">
        <v>11</v>
      </c>
      <c r="AB2" s="19" t="s">
        <v>10</v>
      </c>
      <c r="AC2" s="7" t="s">
        <v>5</v>
      </c>
      <c r="AD2" s="8" t="s">
        <v>6</v>
      </c>
      <c r="AE2" s="9" t="s">
        <v>7</v>
      </c>
    </row>
    <row r="3" ht="14.25" customHeight="1">
      <c r="A3" s="5" t="s">
        <v>12</v>
      </c>
      <c r="B3" s="1">
        <v>6656.92</v>
      </c>
      <c r="C3" s="1">
        <v>22573.47</v>
      </c>
      <c r="D3" s="1">
        <f>
46292.78</f>
        <v>46292.78</v>
      </c>
      <c r="E3" s="1">
        <v>42477.76</v>
      </c>
      <c r="H3" s="20" t="s">
        <v>9</v>
      </c>
      <c r="I3" s="1">
        <v>1.0</v>
      </c>
      <c r="J3" s="5">
        <f>CORREL(B3:B997, C3:C997)</f>
        <v>0.9460346857</v>
      </c>
      <c r="K3" s="5">
        <f>CORREL(B3:B997, D3:D997)</f>
        <v>0.923175619</v>
      </c>
      <c r="L3" s="21">
        <f>CORREL(B3:B997, E3:E997)</f>
        <v>0.7120603581</v>
      </c>
      <c r="U3" s="1" t="s">
        <v>13</v>
      </c>
      <c r="V3" s="22">
        <f t="shared" ref="V3:V74" si="2">B3/$B$3 *100</f>
        <v>100</v>
      </c>
      <c r="W3" s="23">
        <f t="shared" ref="W3:W74" si="3">C3/$C$3 *100</f>
        <v>100</v>
      </c>
      <c r="X3" s="23">
        <f t="shared" ref="X3:X74" si="4">D3/$D$3 *100</f>
        <v>100</v>
      </c>
      <c r="Y3" s="24">
        <f t="shared" ref="Y3:Y74" si="5">E3/$E$3 *100</f>
        <v>100</v>
      </c>
      <c r="AA3" s="1">
        <v>1.0</v>
      </c>
      <c r="AB3" s="25">
        <f t="shared" ref="AB3:AE3" si="1">AVERAGE(V3:V6)</f>
        <v>99.68314926</v>
      </c>
      <c r="AC3" s="25">
        <f t="shared" si="1"/>
        <v>99.6081905</v>
      </c>
      <c r="AD3" s="25">
        <f t="shared" si="1"/>
        <v>99.69625393</v>
      </c>
      <c r="AE3" s="25">
        <f t="shared" si="1"/>
        <v>99.9285273</v>
      </c>
    </row>
    <row r="4" ht="14.25" customHeight="1">
      <c r="A4" s="5" t="s">
        <v>14</v>
      </c>
      <c r="B4" s="1">
        <v>6637.97</v>
      </c>
      <c r="C4" s="1">
        <v>22497.86</v>
      </c>
      <c r="D4" s="1">
        <v>46121.28</v>
      </c>
      <c r="E4" s="1">
        <v>42423.12</v>
      </c>
      <c r="H4" s="26" t="s">
        <v>5</v>
      </c>
      <c r="J4" s="1">
        <v>1.0</v>
      </c>
      <c r="K4" s="1">
        <f>CORREL(C3:C997, D3:D997)</f>
        <v>0.785031464</v>
      </c>
      <c r="L4" s="21">
        <f>CORREL(C3:C997, E3:E997)</f>
        <v>0.5416219642</v>
      </c>
      <c r="V4" s="27">
        <f t="shared" si="2"/>
        <v>99.71533382</v>
      </c>
      <c r="W4" s="25">
        <f t="shared" si="3"/>
        <v>99.66504928</v>
      </c>
      <c r="X4" s="25">
        <f t="shared" si="4"/>
        <v>99.62953186</v>
      </c>
      <c r="Y4" s="28">
        <f t="shared" si="5"/>
        <v>99.87136798</v>
      </c>
      <c r="AA4" s="1">
        <v>2.0</v>
      </c>
      <c r="AB4" s="25">
        <f t="shared" ref="AB4:AE4" si="6">AVERAGE(V7:V11)</f>
        <v>100.623141</v>
      </c>
      <c r="AC4" s="25">
        <f t="shared" si="6"/>
        <v>100.6764844</v>
      </c>
      <c r="AD4" s="25">
        <f t="shared" si="6"/>
        <v>100.4187089</v>
      </c>
      <c r="AE4" s="25">
        <f t="shared" si="6"/>
        <v>101.0860931</v>
      </c>
    </row>
    <row r="5" ht="14.25" customHeight="1">
      <c r="A5" s="5" t="s">
        <v>15</v>
      </c>
      <c r="B5" s="1">
        <v>6604.72</v>
      </c>
      <c r="C5" s="1">
        <v>22384.7</v>
      </c>
      <c r="D5" s="1">
        <v>45947.32</v>
      </c>
      <c r="E5" s="1">
        <v>42242.49</v>
      </c>
      <c r="H5" s="29" t="s">
        <v>6</v>
      </c>
      <c r="K5" s="1">
        <v>1.0</v>
      </c>
      <c r="L5" s="21">
        <f>CORREL(D3:D997, E3:E997)</f>
        <v>0.8562594056</v>
      </c>
      <c r="V5" s="27">
        <f t="shared" si="2"/>
        <v>99.21585358</v>
      </c>
      <c r="W5" s="25">
        <f t="shared" si="3"/>
        <v>99.16375285</v>
      </c>
      <c r="X5" s="25">
        <f t="shared" si="4"/>
        <v>99.25374972</v>
      </c>
      <c r="Y5" s="28">
        <f t="shared" si="5"/>
        <v>99.44613369</v>
      </c>
      <c r="AA5" s="1">
        <v>3.0</v>
      </c>
      <c r="AB5" s="25">
        <f t="shared" ref="AB5:AE5" si="7">AVERAGE(V12:V16)</f>
        <v>100.6357595</v>
      </c>
      <c r="AC5" s="25">
        <f t="shared" si="7"/>
        <v>101.0057116</v>
      </c>
      <c r="AD5" s="25">
        <f t="shared" si="7"/>
        <v>100.1183122</v>
      </c>
      <c r="AE5" s="25">
        <f t="shared" si="7"/>
        <v>101.0130572</v>
      </c>
    </row>
    <row r="6" ht="14.25" customHeight="1">
      <c r="A6" s="5" t="s">
        <v>16</v>
      </c>
      <c r="B6" s="1">
        <v>6643.7</v>
      </c>
      <c r="C6" s="1">
        <v>22484.07</v>
      </c>
      <c r="D6" s="1">
        <v>46247.29</v>
      </c>
      <c r="E6" s="1">
        <v>42646.23</v>
      </c>
      <c r="H6" s="30" t="s">
        <v>7</v>
      </c>
      <c r="I6" s="31"/>
      <c r="J6" s="31"/>
      <c r="K6" s="31"/>
      <c r="L6" s="32">
        <v>1.0</v>
      </c>
      <c r="V6" s="33">
        <f t="shared" si="2"/>
        <v>99.80140966</v>
      </c>
      <c r="W6" s="34">
        <f t="shared" si="3"/>
        <v>99.60395987</v>
      </c>
      <c r="X6" s="34">
        <f t="shared" si="4"/>
        <v>99.90173414</v>
      </c>
      <c r="Y6" s="35">
        <f t="shared" si="5"/>
        <v>100.3966075</v>
      </c>
      <c r="AA6" s="1">
        <v>4.0</v>
      </c>
      <c r="AB6" s="25">
        <f t="shared" ref="AB6:AE6" si="8">AVERAGE(V17:V21)</f>
        <v>99.93477464</v>
      </c>
      <c r="AC6" s="25">
        <f t="shared" si="8"/>
        <v>100.2283477</v>
      </c>
      <c r="AD6" s="25">
        <f t="shared" si="8"/>
        <v>99.68364829</v>
      </c>
      <c r="AE6" s="25">
        <f t="shared" si="8"/>
        <v>99.00825279</v>
      </c>
    </row>
    <row r="7" ht="14.25" customHeight="1">
      <c r="A7" s="5" t="s">
        <v>17</v>
      </c>
      <c r="B7" s="1">
        <v>6661.21</v>
      </c>
      <c r="C7" s="1">
        <v>22591.15</v>
      </c>
      <c r="D7" s="1">
        <v>46316.07</v>
      </c>
      <c r="E7" s="1">
        <v>42554.4</v>
      </c>
      <c r="U7" s="1" t="s">
        <v>18</v>
      </c>
      <c r="V7" s="22">
        <f t="shared" si="2"/>
        <v>100.0644442</v>
      </c>
      <c r="W7" s="23">
        <f t="shared" si="3"/>
        <v>100.078322</v>
      </c>
      <c r="X7" s="23">
        <f t="shared" si="4"/>
        <v>100.0503102</v>
      </c>
      <c r="Y7" s="24">
        <f t="shared" si="5"/>
        <v>100.1804238</v>
      </c>
      <c r="AA7" s="1">
        <v>5.0</v>
      </c>
      <c r="AB7" s="25">
        <f t="shared" ref="AB7:AE7" si="9">AVERAGE(V22:V26)</f>
        <v>101.2619349</v>
      </c>
      <c r="AC7" s="25">
        <f t="shared" si="9"/>
        <v>101.7400338</v>
      </c>
      <c r="AD7" s="25">
        <f t="shared" si="9"/>
        <v>101.1662726</v>
      </c>
      <c r="AE7" s="25">
        <f t="shared" si="9"/>
        <v>99.87291232</v>
      </c>
    </row>
    <row r="8" ht="14.25" customHeight="1">
      <c r="A8" s="36">
        <v>45930.0</v>
      </c>
      <c r="B8" s="1">
        <v>6688.46</v>
      </c>
      <c r="C8" s="1">
        <v>22660.01</v>
      </c>
      <c r="D8" s="1">
        <v>46397.89</v>
      </c>
      <c r="E8" s="1">
        <v>42725.32</v>
      </c>
      <c r="V8" s="27">
        <f t="shared" si="2"/>
        <v>100.4737927</v>
      </c>
      <c r="W8" s="25">
        <f t="shared" si="3"/>
        <v>100.3833704</v>
      </c>
      <c r="X8" s="25">
        <f t="shared" si="4"/>
        <v>100.2270548</v>
      </c>
      <c r="Y8" s="28">
        <f t="shared" si="5"/>
        <v>100.5827991</v>
      </c>
      <c r="AA8" s="1">
        <v>6.0</v>
      </c>
      <c r="AB8" s="25">
        <f t="shared" ref="AB8:AE8" si="10">AVERAGE(V27:V31)</f>
        <v>103.1082843</v>
      </c>
      <c r="AC8" s="25">
        <f t="shared" si="10"/>
        <v>105.1938581</v>
      </c>
      <c r="AD8" s="25">
        <f t="shared" si="10"/>
        <v>102.809963</v>
      </c>
      <c r="AE8" s="25">
        <f t="shared" si="10"/>
        <v>101.540359</v>
      </c>
    </row>
    <row r="9" ht="14.25" customHeight="1">
      <c r="A9" s="36">
        <v>45931.0</v>
      </c>
      <c r="B9" s="1">
        <v>6711.2</v>
      </c>
      <c r="C9" s="1">
        <v>22755.16</v>
      </c>
      <c r="D9" s="1">
        <v>46441.1</v>
      </c>
      <c r="E9" s="1">
        <v>43079.58</v>
      </c>
      <c r="V9" s="27">
        <f t="shared" si="2"/>
        <v>100.8153921</v>
      </c>
      <c r="W9" s="25">
        <f t="shared" si="3"/>
        <v>100.8048829</v>
      </c>
      <c r="X9" s="25">
        <f t="shared" si="4"/>
        <v>100.3203955</v>
      </c>
      <c r="Y9" s="28">
        <f t="shared" si="5"/>
        <v>101.4167885</v>
      </c>
      <c r="AA9" s="1">
        <v>7.0</v>
      </c>
      <c r="AB9" s="25">
        <f t="shared" ref="AB9:AE9" si="11">AVERAGE(V32:V36)</f>
        <v>101.7556167</v>
      </c>
      <c r="AC9" s="25">
        <f t="shared" si="11"/>
        <v>103.432649</v>
      </c>
      <c r="AD9" s="25">
        <f t="shared" si="11"/>
        <v>101.8008942</v>
      </c>
      <c r="AE9" s="25">
        <f t="shared" si="11"/>
        <v>101.657997</v>
      </c>
    </row>
    <row r="10" ht="14.25" customHeight="1">
      <c r="A10" s="36">
        <v>45932.0</v>
      </c>
      <c r="B10" s="1">
        <v>6715.35</v>
      </c>
      <c r="C10" s="1">
        <v>22844.05</v>
      </c>
      <c r="D10" s="1">
        <v>46519.72</v>
      </c>
      <c r="E10" s="1">
        <v>43078.13</v>
      </c>
      <c r="V10" s="27">
        <f t="shared" si="2"/>
        <v>100.8777332</v>
      </c>
      <c r="W10" s="25">
        <f t="shared" si="3"/>
        <v>101.1986637</v>
      </c>
      <c r="X10" s="25">
        <f t="shared" si="4"/>
        <v>100.4902276</v>
      </c>
      <c r="Y10" s="28">
        <f t="shared" si="5"/>
        <v>101.4133749</v>
      </c>
      <c r="AA10" s="1">
        <v>8.0</v>
      </c>
      <c r="AB10" s="25">
        <f t="shared" ref="AB10:AE10" si="12">AVERAGE(V37:V41)</f>
        <v>102.1540292</v>
      </c>
      <c r="AC10" s="25">
        <f t="shared" si="12"/>
        <v>102.9286858</v>
      </c>
      <c r="AD10" s="25">
        <f t="shared" si="12"/>
        <v>102.8912543</v>
      </c>
      <c r="AE10" s="25">
        <f t="shared" si="12"/>
        <v>104.467486</v>
      </c>
    </row>
    <row r="11" ht="14.25" customHeight="1">
      <c r="A11" s="36">
        <v>45933.0</v>
      </c>
      <c r="B11" s="1">
        <v>6715.79</v>
      </c>
      <c r="C11" s="1">
        <v>22780.51</v>
      </c>
      <c r="D11" s="1">
        <v>46758.28</v>
      </c>
      <c r="E11" s="1">
        <v>43258.11</v>
      </c>
      <c r="V11" s="33">
        <f t="shared" si="2"/>
        <v>100.8843429</v>
      </c>
      <c r="W11" s="34">
        <f t="shared" si="3"/>
        <v>100.9171829</v>
      </c>
      <c r="X11" s="34">
        <f t="shared" si="4"/>
        <v>101.0055564</v>
      </c>
      <c r="Y11" s="35">
        <f t="shared" si="5"/>
        <v>101.837079</v>
      </c>
      <c r="AA11" s="1">
        <v>9.0</v>
      </c>
      <c r="AB11" s="25">
        <f t="shared" ref="AB11:AE11" si="13">AVERAGE(V42:V46)</f>
        <v>99.36619337</v>
      </c>
      <c r="AC11" s="25">
        <f t="shared" si="13"/>
        <v>99.28139537</v>
      </c>
      <c r="AD11" s="25">
        <f t="shared" si="13"/>
        <v>99.72113146</v>
      </c>
      <c r="AE11" s="25">
        <f t="shared" si="13"/>
        <v>101.1525655</v>
      </c>
    </row>
    <row r="12" ht="14.25" customHeight="1">
      <c r="A12" s="36">
        <v>45936.0</v>
      </c>
      <c r="B12" s="1">
        <v>6740.28</v>
      </c>
      <c r="C12" s="1">
        <v>22941.67</v>
      </c>
      <c r="D12" s="1">
        <v>46694.97</v>
      </c>
      <c r="E12" s="1">
        <v>43146.13</v>
      </c>
      <c r="U12" s="1" t="s">
        <v>19</v>
      </c>
      <c r="V12" s="22">
        <f t="shared" si="2"/>
        <v>101.2522308</v>
      </c>
      <c r="W12" s="23">
        <f t="shared" si="3"/>
        <v>101.6311183</v>
      </c>
      <c r="X12" s="23">
        <f t="shared" si="4"/>
        <v>100.8687964</v>
      </c>
      <c r="Y12" s="24">
        <f t="shared" si="5"/>
        <v>101.5734587</v>
      </c>
      <c r="AA12" s="1">
        <v>10.0</v>
      </c>
      <c r="AB12" s="25">
        <f t="shared" ref="AB12:AE12" si="14">AVERAGE(V47:V50)</f>
        <v>101.8965978</v>
      </c>
      <c r="AC12" s="25">
        <f t="shared" si="14"/>
        <v>102.4188793</v>
      </c>
      <c r="AD12" s="25">
        <f t="shared" si="14"/>
        <v>101.9078731</v>
      </c>
      <c r="AE12" s="25">
        <f t="shared" si="14"/>
        <v>100.3371176</v>
      </c>
    </row>
    <row r="13" ht="14.25" customHeight="1">
      <c r="A13" s="36">
        <v>45937.0</v>
      </c>
      <c r="B13" s="1">
        <v>6714.59</v>
      </c>
      <c r="C13" s="1">
        <v>22788.36</v>
      </c>
      <c r="D13" s="1">
        <v>46602.98</v>
      </c>
      <c r="E13" s="1">
        <v>43070.95</v>
      </c>
      <c r="V13" s="27">
        <f t="shared" si="2"/>
        <v>100.8663166</v>
      </c>
      <c r="W13" s="25">
        <f t="shared" si="3"/>
        <v>100.9519582</v>
      </c>
      <c r="X13" s="25">
        <f t="shared" si="4"/>
        <v>100.6700829</v>
      </c>
      <c r="Y13" s="28">
        <f t="shared" si="5"/>
        <v>101.3964719</v>
      </c>
      <c r="AA13" s="1">
        <v>11.0</v>
      </c>
      <c r="AB13" s="25">
        <f t="shared" ref="AB13:AE13" si="15">AVERAGE(V51:V55)</f>
        <v>102.8080253</v>
      </c>
      <c r="AC13" s="25">
        <f t="shared" si="15"/>
        <v>103.8625874</v>
      </c>
      <c r="AD13" s="25">
        <f t="shared" si="15"/>
        <v>103.0193564</v>
      </c>
      <c r="AE13" s="25">
        <f t="shared" si="15"/>
        <v>102.1460595</v>
      </c>
    </row>
    <row r="14" ht="14.25" customHeight="1">
      <c r="A14" s="36">
        <v>45938.0</v>
      </c>
      <c r="B14" s="1">
        <v>6753.72</v>
      </c>
      <c r="C14" s="1">
        <v>23043.38</v>
      </c>
      <c r="D14" s="1">
        <v>46601.78</v>
      </c>
      <c r="E14" s="1">
        <v>43484.24</v>
      </c>
      <c r="V14" s="27">
        <f t="shared" si="2"/>
        <v>101.4541259</v>
      </c>
      <c r="W14" s="25">
        <f t="shared" si="3"/>
        <v>102.0816915</v>
      </c>
      <c r="X14" s="25">
        <f t="shared" si="4"/>
        <v>100.6674907</v>
      </c>
      <c r="Y14" s="28">
        <f t="shared" si="5"/>
        <v>102.3694281</v>
      </c>
      <c r="AA14" s="1">
        <v>12.0</v>
      </c>
      <c r="AB14" s="25">
        <f t="shared" ref="AB14:AE14" si="16">AVERAGE(V56:V59)</f>
        <v>103.1096964</v>
      </c>
      <c r="AC14" s="25">
        <f t="shared" si="16"/>
        <v>104.126304</v>
      </c>
      <c r="AD14" s="25">
        <f t="shared" si="16"/>
        <v>104.1092261</v>
      </c>
      <c r="AE14" s="25">
        <f t="shared" si="16"/>
        <v>102.5570793</v>
      </c>
    </row>
    <row r="15" ht="14.25" customHeight="1">
      <c r="A15" s="36">
        <v>45939.0</v>
      </c>
      <c r="B15" s="1">
        <v>6735.11</v>
      </c>
      <c r="C15" s="1">
        <v>23024.63</v>
      </c>
      <c r="D15" s="1">
        <v>46358.42</v>
      </c>
      <c r="E15" s="1">
        <v>42791.6</v>
      </c>
      <c r="V15" s="27">
        <f t="shared" si="2"/>
        <v>101.1745672</v>
      </c>
      <c r="W15" s="25">
        <f t="shared" si="3"/>
        <v>101.9986294</v>
      </c>
      <c r="X15" s="25">
        <f t="shared" si="4"/>
        <v>100.1417932</v>
      </c>
      <c r="Y15" s="28">
        <f t="shared" si="5"/>
        <v>100.7388337</v>
      </c>
      <c r="AA15" s="1">
        <v>13.0</v>
      </c>
      <c r="AB15" s="25">
        <f t="shared" ref="AB15:AE15" si="17">AVERAGE(V60:V64)</f>
        <v>101.9914916</v>
      </c>
      <c r="AC15" s="25">
        <f t="shared" si="17"/>
        <v>102.0456049</v>
      </c>
      <c r="AD15" s="25">
        <f t="shared" si="17"/>
        <v>103.9054168</v>
      </c>
      <c r="AE15" s="25">
        <f t="shared" si="17"/>
        <v>104.2558506</v>
      </c>
    </row>
    <row r="16" ht="14.25" customHeight="1">
      <c r="A16" s="36">
        <v>45940.0</v>
      </c>
      <c r="B16" s="1">
        <v>6552.51</v>
      </c>
      <c r="C16" s="1">
        <v>22204.43</v>
      </c>
      <c r="D16" s="1">
        <v>45479.6</v>
      </c>
      <c r="E16" s="1">
        <v>42047.5</v>
      </c>
      <c r="V16" s="33">
        <f t="shared" si="2"/>
        <v>98.43155694</v>
      </c>
      <c r="W16" s="34">
        <f t="shared" si="3"/>
        <v>98.36516052</v>
      </c>
      <c r="X16" s="34">
        <f t="shared" si="4"/>
        <v>98.24339778</v>
      </c>
      <c r="Y16" s="35">
        <f t="shared" si="5"/>
        <v>98.98709348</v>
      </c>
      <c r="AA16" s="1">
        <v>14.0</v>
      </c>
      <c r="AB16" s="25">
        <f t="shared" ref="AB16:AE16" si="18">AVERAGE(V65:V66)</f>
        <v>103.5635099</v>
      </c>
      <c r="AC16" s="25">
        <f t="shared" si="18"/>
        <v>104.0838427</v>
      </c>
      <c r="AD16" s="25">
        <f t="shared" si="18"/>
        <v>104.5574385</v>
      </c>
      <c r="AE16" s="25">
        <f t="shared" si="18"/>
        <v>104.9963322</v>
      </c>
    </row>
    <row r="17" ht="14.25" customHeight="1">
      <c r="A17" s="36">
        <v>45943.0</v>
      </c>
      <c r="B17" s="1">
        <v>6654.72</v>
      </c>
      <c r="C17" s="1">
        <v>22694.61</v>
      </c>
      <c r="D17" s="1">
        <v>46067.58</v>
      </c>
      <c r="E17" s="1">
        <v>42167.59</v>
      </c>
      <c r="U17" s="1" t="s">
        <v>20</v>
      </c>
      <c r="V17" s="22">
        <f t="shared" si="2"/>
        <v>99.96695168</v>
      </c>
      <c r="W17" s="23">
        <f t="shared" si="3"/>
        <v>100.5366477</v>
      </c>
      <c r="X17" s="23">
        <f t="shared" si="4"/>
        <v>99.51353105</v>
      </c>
      <c r="Y17" s="24">
        <f t="shared" si="5"/>
        <v>99.26980613</v>
      </c>
      <c r="AA17" s="1">
        <v>15.0</v>
      </c>
      <c r="AB17" s="25">
        <f t="shared" ref="AB17:AE17" si="19">AVERAGE(V67:V69)</f>
        <v>103.453499</v>
      </c>
      <c r="AC17" s="25">
        <f t="shared" si="19"/>
        <v>103.5567564</v>
      </c>
      <c r="AD17" s="25">
        <f t="shared" si="19"/>
        <v>104.5601352</v>
      </c>
      <c r="AE17" s="25">
        <f t="shared" si="19"/>
        <v>105.7452025</v>
      </c>
    </row>
    <row r="18" ht="14.25" customHeight="1">
      <c r="A18" s="36">
        <v>45944.0</v>
      </c>
      <c r="B18" s="1">
        <v>6644.31</v>
      </c>
      <c r="C18" s="1">
        <v>22521.7</v>
      </c>
      <c r="D18" s="1">
        <v>46270.46</v>
      </c>
      <c r="E18" s="1">
        <v>42075.66</v>
      </c>
      <c r="V18" s="27">
        <f t="shared" si="2"/>
        <v>99.81057306</v>
      </c>
      <c r="W18" s="25">
        <f t="shared" si="3"/>
        <v>99.77065998</v>
      </c>
      <c r="X18" s="25">
        <f t="shared" si="4"/>
        <v>99.95178514</v>
      </c>
      <c r="Y18" s="28">
        <f t="shared" si="5"/>
        <v>99.053387</v>
      </c>
      <c r="AA18" s="1">
        <v>16.0</v>
      </c>
      <c r="AB18" s="25">
        <f t="shared" ref="AB18:AE18" si="20">AVERAGE(V70:V74)</f>
        <v>104.1188417</v>
      </c>
      <c r="AC18" s="25">
        <f t="shared" si="20"/>
        <v>104.2907183</v>
      </c>
      <c r="AD18" s="25">
        <f t="shared" si="20"/>
        <v>106.3688636</v>
      </c>
      <c r="AE18" s="25">
        <f t="shared" si="20"/>
        <v>107.6094361</v>
      </c>
    </row>
    <row r="19" ht="14.25" customHeight="1">
      <c r="A19" s="36">
        <v>45945.0</v>
      </c>
      <c r="B19" s="1">
        <v>6671.06</v>
      </c>
      <c r="C19" s="1">
        <v>22670.08</v>
      </c>
      <c r="D19" s="1">
        <v>46253.31</v>
      </c>
      <c r="E19" s="1">
        <v>41906.9</v>
      </c>
      <c r="V19" s="27">
        <f t="shared" si="2"/>
        <v>100.2124105</v>
      </c>
      <c r="W19" s="25">
        <f t="shared" si="3"/>
        <v>100.4279803</v>
      </c>
      <c r="X19" s="25">
        <f t="shared" si="4"/>
        <v>99.91473832</v>
      </c>
      <c r="Y19" s="28">
        <f t="shared" si="5"/>
        <v>98.65609674</v>
      </c>
    </row>
    <row r="20" ht="14.25" customHeight="1">
      <c r="A20" s="36">
        <v>45946.0</v>
      </c>
      <c r="B20" s="1">
        <v>6629.07</v>
      </c>
      <c r="C20" s="1">
        <v>22562.54</v>
      </c>
      <c r="D20" s="1">
        <v>45952.24</v>
      </c>
      <c r="E20" s="1">
        <v>42374.18</v>
      </c>
      <c r="V20" s="27">
        <f t="shared" si="2"/>
        <v>99.58163836</v>
      </c>
      <c r="W20" s="25">
        <f t="shared" si="3"/>
        <v>99.95158033</v>
      </c>
      <c r="X20" s="25">
        <f t="shared" si="4"/>
        <v>99.26437773</v>
      </c>
      <c r="Y20" s="28">
        <f t="shared" si="5"/>
        <v>99.75615475</v>
      </c>
    </row>
    <row r="21" ht="14.25" customHeight="1">
      <c r="A21" s="36">
        <v>45947.0</v>
      </c>
      <c r="B21" s="1">
        <v>6663.73</v>
      </c>
      <c r="C21" s="1">
        <v>22676.15</v>
      </c>
      <c r="D21" s="1">
        <v>46188.07</v>
      </c>
      <c r="E21" s="1">
        <v>41758.11</v>
      </c>
      <c r="V21" s="33">
        <f t="shared" si="2"/>
        <v>100.1022996</v>
      </c>
      <c r="W21" s="34">
        <f t="shared" si="3"/>
        <v>100.4548703</v>
      </c>
      <c r="X21" s="34">
        <f t="shared" si="4"/>
        <v>99.77380922</v>
      </c>
      <c r="Y21" s="35">
        <f t="shared" si="5"/>
        <v>98.30581933</v>
      </c>
    </row>
    <row r="22" ht="14.25" customHeight="1">
      <c r="A22" s="36">
        <v>45950.0</v>
      </c>
      <c r="B22" s="1">
        <v>6735.13</v>
      </c>
      <c r="C22" s="1">
        <v>22990.54</v>
      </c>
      <c r="D22" s="1">
        <v>46706.58</v>
      </c>
      <c r="E22" s="1">
        <v>42392.36</v>
      </c>
      <c r="U22" s="1" t="s">
        <v>21</v>
      </c>
      <c r="V22" s="22">
        <f t="shared" si="2"/>
        <v>101.1748677</v>
      </c>
      <c r="W22" s="23">
        <f t="shared" si="3"/>
        <v>101.8476114</v>
      </c>
      <c r="X22" s="23">
        <f t="shared" si="4"/>
        <v>100.8938759</v>
      </c>
      <c r="Y22" s="24">
        <f t="shared" si="5"/>
        <v>99.79895362</v>
      </c>
    </row>
    <row r="23" ht="14.25" customHeight="1">
      <c r="A23" s="36">
        <v>45951.0</v>
      </c>
      <c r="B23" s="1">
        <v>6739.96</v>
      </c>
      <c r="C23" s="1">
        <v>22953.67</v>
      </c>
      <c r="D23" s="1">
        <v>46924.68</v>
      </c>
      <c r="E23" s="1">
        <v>42648.28</v>
      </c>
      <c r="V23" s="27">
        <f t="shared" si="2"/>
        <v>101.2474237</v>
      </c>
      <c r="W23" s="25">
        <f t="shared" si="3"/>
        <v>101.684278</v>
      </c>
      <c r="X23" s="25">
        <f t="shared" si="4"/>
        <v>101.3650077</v>
      </c>
      <c r="Y23" s="28">
        <f t="shared" si="5"/>
        <v>100.4014336</v>
      </c>
    </row>
    <row r="24" ht="14.25" customHeight="1">
      <c r="A24" s="36">
        <v>45952.0</v>
      </c>
      <c r="B24" s="1">
        <v>6699.41</v>
      </c>
      <c r="C24" s="1">
        <v>22740.4</v>
      </c>
      <c r="D24" s="1">
        <v>46590.41</v>
      </c>
      <c r="E24" s="1">
        <v>42209.64</v>
      </c>
      <c r="V24" s="27">
        <f t="shared" si="2"/>
        <v>100.6382832</v>
      </c>
      <c r="W24" s="25">
        <f t="shared" si="3"/>
        <v>100.7394964</v>
      </c>
      <c r="X24" s="25">
        <f t="shared" si="4"/>
        <v>100.6429296</v>
      </c>
      <c r="Y24" s="28">
        <f t="shared" si="5"/>
        <v>99.36879911</v>
      </c>
    </row>
    <row r="25" ht="14.25" customHeight="1">
      <c r="A25" s="36">
        <v>45953.0</v>
      </c>
      <c r="B25" s="1">
        <v>6738.44</v>
      </c>
      <c r="C25" s="37">
        <v>22941.8</v>
      </c>
      <c r="D25" s="1">
        <v>46734.61</v>
      </c>
      <c r="E25" s="1">
        <v>42381.93</v>
      </c>
      <c r="V25" s="27">
        <f t="shared" si="2"/>
        <v>101.2245904</v>
      </c>
      <c r="W25" s="25">
        <f t="shared" si="3"/>
        <v>101.6316942</v>
      </c>
      <c r="X25" s="25">
        <f t="shared" si="4"/>
        <v>100.9544253</v>
      </c>
      <c r="Y25" s="28">
        <f t="shared" si="5"/>
        <v>99.77439959</v>
      </c>
    </row>
    <row r="26" ht="14.25" customHeight="1">
      <c r="A26" s="36">
        <v>45954.0</v>
      </c>
      <c r="B26" s="1">
        <v>6791.69</v>
      </c>
      <c r="C26" s="1">
        <v>23204.87</v>
      </c>
      <c r="D26" s="1">
        <v>47207.12</v>
      </c>
      <c r="E26" s="1">
        <v>42486.67</v>
      </c>
      <c r="V26" s="33">
        <f t="shared" si="2"/>
        <v>102.0245098</v>
      </c>
      <c r="W26" s="34">
        <f t="shared" si="3"/>
        <v>102.7970888</v>
      </c>
      <c r="X26" s="34">
        <f t="shared" si="4"/>
        <v>101.9751244</v>
      </c>
      <c r="Y26" s="35">
        <f t="shared" si="5"/>
        <v>100.0209757</v>
      </c>
    </row>
    <row r="27" ht="14.25" customHeight="1">
      <c r="A27" s="36">
        <v>45957.0</v>
      </c>
      <c r="B27" s="1">
        <v>6875.16</v>
      </c>
      <c r="C27" s="38">
        <v>23637.46</v>
      </c>
      <c r="D27" s="1">
        <v>47544.59</v>
      </c>
      <c r="E27" s="1">
        <v>42911.57</v>
      </c>
      <c r="U27" s="1" t="s">
        <v>22</v>
      </c>
      <c r="V27" s="22">
        <f t="shared" si="2"/>
        <v>103.278393</v>
      </c>
      <c r="W27" s="23">
        <f t="shared" si="3"/>
        <v>104.7134534</v>
      </c>
      <c r="X27" s="23">
        <f t="shared" si="4"/>
        <v>102.704115</v>
      </c>
      <c r="Y27" s="24">
        <f t="shared" si="5"/>
        <v>101.0212638</v>
      </c>
    </row>
    <row r="28" ht="14.25" customHeight="1">
      <c r="A28" s="36">
        <v>45958.0</v>
      </c>
      <c r="B28" s="1">
        <v>6890.89</v>
      </c>
      <c r="C28" s="1">
        <v>23827.49</v>
      </c>
      <c r="D28" s="1">
        <v>47706.37</v>
      </c>
      <c r="E28" s="1">
        <v>43128.53</v>
      </c>
      <c r="V28" s="27">
        <f t="shared" si="2"/>
        <v>103.5146885</v>
      </c>
      <c r="W28" s="25">
        <f t="shared" si="3"/>
        <v>105.5552824</v>
      </c>
      <c r="X28" s="25">
        <f t="shared" si="4"/>
        <v>103.0535863</v>
      </c>
      <c r="Y28" s="28">
        <f t="shared" si="5"/>
        <v>101.5320252</v>
      </c>
    </row>
    <row r="29" ht="14.25" customHeight="1">
      <c r="A29" s="36">
        <v>45959.0</v>
      </c>
      <c r="B29" s="1">
        <v>6890.59</v>
      </c>
      <c r="C29" s="1">
        <v>23958.47</v>
      </c>
      <c r="D29" s="1">
        <v>47632.0</v>
      </c>
      <c r="E29" s="1">
        <v>43242.53</v>
      </c>
      <c r="V29" s="27">
        <f t="shared" si="2"/>
        <v>103.5101819</v>
      </c>
      <c r="W29" s="25">
        <f t="shared" si="3"/>
        <v>106.135521</v>
      </c>
      <c r="X29" s="25">
        <f t="shared" si="4"/>
        <v>102.8929349</v>
      </c>
      <c r="Y29" s="28">
        <f t="shared" si="5"/>
        <v>101.800401</v>
      </c>
    </row>
    <row r="30" ht="14.25" customHeight="1">
      <c r="A30" s="36">
        <v>45960.0</v>
      </c>
      <c r="B30" s="1">
        <v>6822.34</v>
      </c>
      <c r="C30" s="1">
        <v>23581.14</v>
      </c>
      <c r="D30" s="1">
        <v>47522.12</v>
      </c>
      <c r="E30" s="1">
        <v>43202.4</v>
      </c>
      <c r="V30" s="27">
        <f t="shared" si="2"/>
        <v>102.484933</v>
      </c>
      <c r="W30" s="25">
        <f t="shared" si="3"/>
        <v>104.463957</v>
      </c>
      <c r="X30" s="25">
        <f t="shared" si="4"/>
        <v>102.6555761</v>
      </c>
      <c r="Y30" s="28">
        <f t="shared" si="5"/>
        <v>101.705928</v>
      </c>
    </row>
    <row r="31" ht="14.25" customHeight="1">
      <c r="A31" s="36">
        <v>45961.0</v>
      </c>
      <c r="B31" s="1">
        <v>6840.2</v>
      </c>
      <c r="C31" s="1">
        <v>23724.96</v>
      </c>
      <c r="D31" s="1">
        <v>47562.87</v>
      </c>
      <c r="E31" s="1">
        <v>43175.32</v>
      </c>
      <c r="V31" s="33">
        <f t="shared" si="2"/>
        <v>102.7532252</v>
      </c>
      <c r="W31" s="34">
        <f t="shared" si="3"/>
        <v>105.1010766</v>
      </c>
      <c r="X31" s="34">
        <f t="shared" si="4"/>
        <v>102.7436028</v>
      </c>
      <c r="Y31" s="35">
        <f t="shared" si="5"/>
        <v>101.642177</v>
      </c>
    </row>
    <row r="32" ht="14.25" customHeight="1">
      <c r="A32" s="36">
        <v>45964.0</v>
      </c>
      <c r="B32" s="1">
        <v>6851.97</v>
      </c>
      <c r="C32" s="1">
        <v>23834.72</v>
      </c>
      <c r="D32" s="1">
        <v>47336.68</v>
      </c>
      <c r="E32" s="1">
        <v>43223.0</v>
      </c>
      <c r="U32" s="1" t="s">
        <v>23</v>
      </c>
      <c r="V32" s="22">
        <f t="shared" si="2"/>
        <v>102.9300337</v>
      </c>
      <c r="W32" s="23">
        <f t="shared" si="3"/>
        <v>105.5873111</v>
      </c>
      <c r="X32" s="23">
        <f t="shared" si="4"/>
        <v>102.2549953</v>
      </c>
      <c r="Y32" s="24">
        <f t="shared" si="5"/>
        <v>101.754424</v>
      </c>
    </row>
    <row r="33" ht="14.25" customHeight="1">
      <c r="A33" s="36">
        <v>45965.0</v>
      </c>
      <c r="B33" s="1">
        <v>6771.55</v>
      </c>
      <c r="C33" s="1">
        <v>23348.64</v>
      </c>
      <c r="D33" s="1">
        <v>47085.24</v>
      </c>
      <c r="E33" s="1">
        <v>43262.35</v>
      </c>
      <c r="V33" s="39">
        <f t="shared" si="2"/>
        <v>101.7219675</v>
      </c>
      <c r="W33" s="25">
        <f t="shared" si="3"/>
        <v>103.4339869</v>
      </c>
      <c r="X33" s="25">
        <f t="shared" si="4"/>
        <v>101.7118436</v>
      </c>
      <c r="Y33" s="28">
        <f t="shared" si="5"/>
        <v>101.8470607</v>
      </c>
    </row>
    <row r="34" ht="14.25" customHeight="1">
      <c r="A34" s="36">
        <v>45966.0</v>
      </c>
      <c r="B34" s="1">
        <v>6796.31</v>
      </c>
      <c r="C34" s="1">
        <v>23499.8</v>
      </c>
      <c r="D34" s="1">
        <v>47311.0</v>
      </c>
      <c r="E34" s="1">
        <v>43438.49</v>
      </c>
      <c r="V34" s="39">
        <f t="shared" si="2"/>
        <v>102.0939113</v>
      </c>
      <c r="W34" s="25">
        <f t="shared" si="3"/>
        <v>104.1036225</v>
      </c>
      <c r="X34" s="25">
        <f t="shared" si="4"/>
        <v>102.1995223</v>
      </c>
      <c r="Y34" s="28">
        <f t="shared" si="5"/>
        <v>102.2617247</v>
      </c>
    </row>
    <row r="35" ht="14.25" customHeight="1">
      <c r="A35" s="36">
        <v>45967.0</v>
      </c>
      <c r="B35" s="1">
        <v>6720.32</v>
      </c>
      <c r="C35" s="1">
        <v>23053.99</v>
      </c>
      <c r="D35" s="1">
        <v>46912.3</v>
      </c>
      <c r="E35" s="1">
        <v>43068.69</v>
      </c>
      <c r="V35" s="39">
        <f t="shared" si="2"/>
        <v>100.9523924</v>
      </c>
      <c r="W35" s="25">
        <f t="shared" si="3"/>
        <v>102.1286936</v>
      </c>
      <c r="X35" s="25">
        <f t="shared" si="4"/>
        <v>101.3382648</v>
      </c>
      <c r="Y35" s="28">
        <f t="shared" si="5"/>
        <v>101.3911515</v>
      </c>
    </row>
    <row r="36" ht="14.25" customHeight="1">
      <c r="A36" s="36">
        <v>45968.0</v>
      </c>
      <c r="B36" s="1">
        <v>6728.8</v>
      </c>
      <c r="C36" s="1">
        <v>23004.54</v>
      </c>
      <c r="D36" s="1">
        <v>46987.1</v>
      </c>
      <c r="E36" s="1">
        <v>42917.67</v>
      </c>
      <c r="V36" s="40">
        <f t="shared" si="2"/>
        <v>101.0797786</v>
      </c>
      <c r="W36" s="34">
        <f t="shared" si="3"/>
        <v>101.9096311</v>
      </c>
      <c r="X36" s="34">
        <f t="shared" si="4"/>
        <v>101.4998451</v>
      </c>
      <c r="Y36" s="35">
        <f t="shared" si="5"/>
        <v>101.0356243</v>
      </c>
    </row>
    <row r="37" ht="14.25" customHeight="1">
      <c r="A37" s="36">
        <v>45971.0</v>
      </c>
      <c r="B37" s="1">
        <v>6832.43</v>
      </c>
      <c r="C37" s="1">
        <v>23527.17</v>
      </c>
      <c r="D37" s="1">
        <v>47368.63</v>
      </c>
      <c r="E37" s="1">
        <v>43895.67</v>
      </c>
      <c r="U37" s="1" t="s">
        <v>24</v>
      </c>
      <c r="V37" s="41">
        <f t="shared" si="2"/>
        <v>102.6365046</v>
      </c>
      <c r="W37" s="23">
        <f t="shared" si="3"/>
        <v>104.2248711</v>
      </c>
      <c r="X37" s="23">
        <f t="shared" si="4"/>
        <v>102.3240125</v>
      </c>
      <c r="Y37" s="24">
        <f t="shared" si="5"/>
        <v>103.3380056</v>
      </c>
    </row>
    <row r="38" ht="14.25" customHeight="1">
      <c r="A38" s="36">
        <v>45972.0</v>
      </c>
      <c r="B38" s="1">
        <v>6846.61</v>
      </c>
      <c r="C38" s="1">
        <v>23468.3</v>
      </c>
      <c r="D38" s="1">
        <v>47927.96</v>
      </c>
      <c r="E38" s="1">
        <v>44438.88</v>
      </c>
      <c r="V38" s="39">
        <f t="shared" si="2"/>
        <v>102.849516</v>
      </c>
      <c r="W38" s="25">
        <f t="shared" si="3"/>
        <v>103.9640782</v>
      </c>
      <c r="X38" s="25">
        <f t="shared" si="4"/>
        <v>103.5322571</v>
      </c>
      <c r="Y38" s="28">
        <f t="shared" si="5"/>
        <v>104.616816</v>
      </c>
    </row>
    <row r="39" ht="14.25" customHeight="1">
      <c r="A39" s="36">
        <v>45973.0</v>
      </c>
      <c r="B39" s="1">
        <v>6850.92</v>
      </c>
      <c r="C39" s="1">
        <v>23406.46</v>
      </c>
      <c r="D39" s="1">
        <v>48254.82</v>
      </c>
      <c r="E39" s="1">
        <v>44792.64</v>
      </c>
      <c r="V39" s="39">
        <f t="shared" si="2"/>
        <v>102.9142606</v>
      </c>
      <c r="W39" s="25">
        <f t="shared" si="3"/>
        <v>103.6901283</v>
      </c>
      <c r="X39" s="25">
        <f t="shared" si="4"/>
        <v>104.2383283</v>
      </c>
      <c r="Y39" s="28">
        <f t="shared" si="5"/>
        <v>105.4496282</v>
      </c>
    </row>
    <row r="40" ht="14.25" customHeight="1">
      <c r="A40" s="36">
        <v>45974.0</v>
      </c>
      <c r="B40" s="1">
        <v>6737.49</v>
      </c>
      <c r="C40" s="1">
        <v>22870.36</v>
      </c>
      <c r="D40" s="1">
        <v>47457.22</v>
      </c>
      <c r="E40" s="1">
        <v>44755.36</v>
      </c>
      <c r="V40" s="39">
        <f t="shared" si="2"/>
        <v>101.2103195</v>
      </c>
      <c r="W40" s="25">
        <f t="shared" si="3"/>
        <v>101.3152165</v>
      </c>
      <c r="X40" s="25">
        <f t="shared" si="4"/>
        <v>102.5153814</v>
      </c>
      <c r="Y40" s="28">
        <f t="shared" si="5"/>
        <v>105.3618647</v>
      </c>
    </row>
    <row r="41" ht="14.25" customHeight="1">
      <c r="A41" s="36">
        <v>45975.0</v>
      </c>
      <c r="B41" s="1">
        <v>6734.11</v>
      </c>
      <c r="C41" s="1">
        <v>22900.59</v>
      </c>
      <c r="D41" s="1">
        <v>47147.48</v>
      </c>
      <c r="E41" s="1">
        <v>43994.69</v>
      </c>
      <c r="V41" s="40">
        <f t="shared" si="2"/>
        <v>101.1595453</v>
      </c>
      <c r="W41" s="34">
        <f t="shared" si="3"/>
        <v>101.4491348</v>
      </c>
      <c r="X41" s="34">
        <f t="shared" si="4"/>
        <v>101.8462922</v>
      </c>
      <c r="Y41" s="35">
        <f t="shared" si="5"/>
        <v>103.5711158</v>
      </c>
    </row>
    <row r="42" ht="14.25" customHeight="1">
      <c r="A42" s="36">
        <v>45978.0</v>
      </c>
      <c r="B42" s="1">
        <v>6672.41</v>
      </c>
      <c r="C42" s="1">
        <v>22708.07</v>
      </c>
      <c r="D42" s="1">
        <v>46590.24</v>
      </c>
      <c r="E42" s="1">
        <v>43767.28</v>
      </c>
      <c r="U42" s="1" t="s">
        <v>25</v>
      </c>
      <c r="V42" s="41">
        <f t="shared" si="2"/>
        <v>100.2326902</v>
      </c>
      <c r="W42" s="23">
        <f t="shared" si="3"/>
        <v>100.5962752</v>
      </c>
      <c r="X42" s="23">
        <f t="shared" si="4"/>
        <v>100.6425624</v>
      </c>
      <c r="Y42" s="24">
        <f t="shared" si="5"/>
        <v>103.0357533</v>
      </c>
    </row>
    <row r="43" ht="14.25" customHeight="1">
      <c r="A43" s="36">
        <v>45979.0</v>
      </c>
      <c r="B43" s="1">
        <v>6617.32</v>
      </c>
      <c r="C43" s="1">
        <v>22432.85</v>
      </c>
      <c r="D43" s="1">
        <v>46091.74</v>
      </c>
      <c r="E43" s="1">
        <v>42838.64</v>
      </c>
      <c r="V43" s="39">
        <f t="shared" si="2"/>
        <v>99.4051303</v>
      </c>
      <c r="W43" s="25">
        <f t="shared" si="3"/>
        <v>99.37705634</v>
      </c>
      <c r="X43" s="25">
        <f t="shared" si="4"/>
        <v>99.56572062</v>
      </c>
      <c r="Y43" s="28">
        <f t="shared" si="5"/>
        <v>100.849574</v>
      </c>
    </row>
    <row r="44" ht="14.25" customHeight="1">
      <c r="A44" s="36">
        <v>45980.0</v>
      </c>
      <c r="B44" s="1">
        <v>6642.16</v>
      </c>
      <c r="C44" s="1">
        <v>22564.23</v>
      </c>
      <c r="D44" s="1">
        <v>46138.77</v>
      </c>
      <c r="E44" s="1">
        <v>42651.49</v>
      </c>
      <c r="V44" s="39">
        <f t="shared" si="2"/>
        <v>99.77827584</v>
      </c>
      <c r="W44" s="25">
        <f t="shared" si="3"/>
        <v>99.95906699</v>
      </c>
      <c r="X44" s="25">
        <f t="shared" si="4"/>
        <v>99.66731313</v>
      </c>
      <c r="Y44" s="28">
        <f t="shared" si="5"/>
        <v>100.4089905</v>
      </c>
    </row>
    <row r="45" ht="14.25" customHeight="1">
      <c r="A45" s="36">
        <v>45981.0</v>
      </c>
      <c r="B45" s="1">
        <v>6538.76</v>
      </c>
      <c r="C45" s="1">
        <v>22078.05</v>
      </c>
      <c r="D45" s="1">
        <v>45752.26</v>
      </c>
      <c r="E45" s="1">
        <v>42917.64</v>
      </c>
      <c r="V45" s="39">
        <f t="shared" si="2"/>
        <v>98.22500496</v>
      </c>
      <c r="W45" s="25">
        <f t="shared" si="3"/>
        <v>97.80529976</v>
      </c>
      <c r="X45" s="25">
        <f t="shared" si="4"/>
        <v>98.83238812</v>
      </c>
      <c r="Y45" s="28">
        <f t="shared" si="5"/>
        <v>101.0355537</v>
      </c>
    </row>
    <row r="46" ht="14.25" customHeight="1">
      <c r="A46" s="36">
        <v>45982.0</v>
      </c>
      <c r="B46" s="1">
        <v>6602.99</v>
      </c>
      <c r="C46" s="1">
        <v>22273.08</v>
      </c>
      <c r="D46" s="1">
        <v>46245.41</v>
      </c>
      <c r="E46" s="1">
        <v>42661.67</v>
      </c>
      <c r="V46" s="40">
        <f t="shared" si="2"/>
        <v>99.18986558</v>
      </c>
      <c r="W46" s="34">
        <f t="shared" si="3"/>
        <v>98.66927858</v>
      </c>
      <c r="X46" s="34">
        <f t="shared" si="4"/>
        <v>99.89767303</v>
      </c>
      <c r="Y46" s="35">
        <f t="shared" si="5"/>
        <v>100.432956</v>
      </c>
    </row>
    <row r="47" ht="14.25" customHeight="1">
      <c r="A47" s="36">
        <v>45985.0</v>
      </c>
      <c r="B47" s="1">
        <v>6705.12</v>
      </c>
      <c r="C47" s="1">
        <v>22872.01</v>
      </c>
      <c r="D47" s="1">
        <v>46448.27</v>
      </c>
      <c r="E47" s="1">
        <v>42298.17</v>
      </c>
      <c r="U47" s="1" t="s">
        <v>26</v>
      </c>
      <c r="V47" s="22">
        <f t="shared" si="2"/>
        <v>100.7240586</v>
      </c>
      <c r="W47" s="23">
        <f t="shared" si="3"/>
        <v>101.322526</v>
      </c>
      <c r="X47" s="23">
        <f t="shared" si="4"/>
        <v>100.3358839</v>
      </c>
      <c r="Y47" s="24">
        <f t="shared" si="5"/>
        <v>99.57721405</v>
      </c>
    </row>
    <row r="48" ht="14.25" customHeight="1">
      <c r="A48" s="36">
        <v>45986.0</v>
      </c>
      <c r="B48" s="1">
        <v>6765.88</v>
      </c>
      <c r="C48" s="1">
        <v>23025.59</v>
      </c>
      <c r="D48" s="1">
        <v>47112.14</v>
      </c>
      <c r="E48" s="1">
        <v>42698.66</v>
      </c>
      <c r="V48" s="27">
        <f t="shared" si="2"/>
        <v>101.636793</v>
      </c>
      <c r="W48" s="25">
        <f t="shared" si="3"/>
        <v>102.0028821</v>
      </c>
      <c r="X48" s="25">
        <f t="shared" si="4"/>
        <v>101.769952</v>
      </c>
      <c r="Y48" s="28">
        <f t="shared" si="5"/>
        <v>100.5200368</v>
      </c>
    </row>
    <row r="49" ht="14.25" customHeight="1">
      <c r="A49" s="36">
        <v>45987.0</v>
      </c>
      <c r="B49" s="1">
        <v>6812.61</v>
      </c>
      <c r="C49" s="1">
        <v>23214.69</v>
      </c>
      <c r="D49" s="1">
        <v>47427.12</v>
      </c>
      <c r="E49" s="1">
        <v>42130.0</v>
      </c>
      <c r="V49" s="27">
        <f t="shared" si="2"/>
        <v>102.3387693</v>
      </c>
      <c r="W49" s="25">
        <f t="shared" si="3"/>
        <v>102.8405912</v>
      </c>
      <c r="X49" s="25">
        <f t="shared" si="4"/>
        <v>102.4503605</v>
      </c>
      <c r="Y49" s="28">
        <f t="shared" si="5"/>
        <v>99.18131276</v>
      </c>
    </row>
    <row r="50" ht="14.25" customHeight="1">
      <c r="A50" s="36">
        <v>45989.0</v>
      </c>
      <c r="B50" s="1">
        <v>6849.09</v>
      </c>
      <c r="C50" s="1">
        <v>23365.69</v>
      </c>
      <c r="D50" s="37">
        <v>47716.42</v>
      </c>
      <c r="E50" s="1">
        <v>43357.01</v>
      </c>
      <c r="V50" s="33">
        <f t="shared" si="2"/>
        <v>102.8867705</v>
      </c>
      <c r="W50" s="34">
        <f t="shared" si="3"/>
        <v>103.509518</v>
      </c>
      <c r="X50" s="34">
        <f t="shared" si="4"/>
        <v>103.075296</v>
      </c>
      <c r="Y50" s="35">
        <f t="shared" si="5"/>
        <v>102.0699067</v>
      </c>
    </row>
    <row r="51" ht="14.25" customHeight="1">
      <c r="A51" s="42">
        <v>45992.0</v>
      </c>
      <c r="B51" s="1">
        <v>6812.63</v>
      </c>
      <c r="C51" s="1">
        <v>23275.92</v>
      </c>
      <c r="D51" s="1">
        <v>47289.33</v>
      </c>
      <c r="E51" s="1">
        <v>43259.48</v>
      </c>
      <c r="U51" s="1" t="s">
        <v>27</v>
      </c>
      <c r="V51" s="22">
        <f t="shared" si="2"/>
        <v>102.3390697</v>
      </c>
      <c r="W51" s="23">
        <f t="shared" si="3"/>
        <v>103.1118388</v>
      </c>
      <c r="X51" s="23">
        <f t="shared" si="4"/>
        <v>102.1527115</v>
      </c>
      <c r="Y51" s="24">
        <f t="shared" si="5"/>
        <v>101.8403042</v>
      </c>
    </row>
    <row r="52" ht="14.25" customHeight="1">
      <c r="A52" s="42">
        <v>45993.0</v>
      </c>
      <c r="B52" s="1">
        <v>6829.37</v>
      </c>
      <c r="C52" s="1">
        <v>23413.67</v>
      </c>
      <c r="D52" s="1">
        <v>47474.46</v>
      </c>
      <c r="E52" s="1">
        <v>43354.83</v>
      </c>
      <c r="V52" s="27">
        <f t="shared" si="2"/>
        <v>102.5905374</v>
      </c>
      <c r="W52" s="25">
        <f t="shared" si="3"/>
        <v>103.7220684</v>
      </c>
      <c r="X52" s="25">
        <f t="shared" si="4"/>
        <v>102.5526227</v>
      </c>
      <c r="Y52" s="28">
        <f t="shared" si="5"/>
        <v>102.0647746</v>
      </c>
    </row>
    <row r="53" ht="14.25" customHeight="1">
      <c r="A53" s="42">
        <v>45994.0</v>
      </c>
      <c r="B53" s="1">
        <v>6849.72</v>
      </c>
      <c r="C53" s="1">
        <v>23454.09</v>
      </c>
      <c r="D53" s="1">
        <v>47882.9</v>
      </c>
      <c r="E53" s="1">
        <v>43380.64</v>
      </c>
      <c r="V53" s="27">
        <f t="shared" si="2"/>
        <v>102.8962343</v>
      </c>
      <c r="W53" s="25">
        <f t="shared" si="3"/>
        <v>103.9011282</v>
      </c>
      <c r="X53" s="25">
        <f t="shared" si="4"/>
        <v>103.4349201</v>
      </c>
      <c r="Y53" s="28">
        <f t="shared" si="5"/>
        <v>102.1255358</v>
      </c>
    </row>
    <row r="54" ht="14.25" customHeight="1">
      <c r="A54" s="42">
        <v>45995.0</v>
      </c>
      <c r="B54" s="1">
        <v>6857.12</v>
      </c>
      <c r="C54" s="1">
        <v>23505.14</v>
      </c>
      <c r="D54" s="1">
        <v>47850.94</v>
      </c>
      <c r="E54" s="1">
        <v>43519.07</v>
      </c>
      <c r="V54" s="27">
        <f t="shared" si="2"/>
        <v>103.0073968</v>
      </c>
      <c r="W54" s="25">
        <f t="shared" si="3"/>
        <v>104.1272786</v>
      </c>
      <c r="X54" s="25">
        <f t="shared" si="4"/>
        <v>103.3658812</v>
      </c>
      <c r="Y54" s="28">
        <f t="shared" si="5"/>
        <v>102.451424</v>
      </c>
    </row>
    <row r="55" ht="14.25" customHeight="1">
      <c r="A55" s="42">
        <v>45996.0</v>
      </c>
      <c r="B55" s="1">
        <v>6870.4</v>
      </c>
      <c r="C55" s="1">
        <v>23578.13</v>
      </c>
      <c r="D55" s="1">
        <v>47954.99</v>
      </c>
      <c r="E55" s="1">
        <v>43432.77</v>
      </c>
      <c r="V55" s="33">
        <f t="shared" si="2"/>
        <v>103.2068885</v>
      </c>
      <c r="W55" s="34">
        <f t="shared" si="3"/>
        <v>104.4506228</v>
      </c>
      <c r="X55" s="34">
        <f t="shared" si="4"/>
        <v>103.5906463</v>
      </c>
      <c r="Y55" s="35">
        <f t="shared" si="5"/>
        <v>102.2482589</v>
      </c>
    </row>
    <row r="56" ht="14.25" customHeight="1">
      <c r="A56" s="43">
        <v>46000.0</v>
      </c>
      <c r="B56" s="44">
        <v>6840.51</v>
      </c>
      <c r="C56" s="1">
        <v>23576.49</v>
      </c>
      <c r="D56" s="1">
        <v>47560.29</v>
      </c>
      <c r="E56" s="1">
        <v>43574.5</v>
      </c>
      <c r="U56" s="1" t="s">
        <v>28</v>
      </c>
      <c r="V56" s="22">
        <f t="shared" si="2"/>
        <v>102.757882</v>
      </c>
      <c r="W56" s="23">
        <f t="shared" si="3"/>
        <v>104.4433576</v>
      </c>
      <c r="X56" s="23">
        <f t="shared" si="4"/>
        <v>102.7380296</v>
      </c>
      <c r="Y56" s="24">
        <f t="shared" si="5"/>
        <v>102.5819158</v>
      </c>
    </row>
    <row r="57" ht="14.25" customHeight="1">
      <c r="A57" s="36">
        <v>46001.0</v>
      </c>
      <c r="B57" s="1">
        <v>6886.8</v>
      </c>
      <c r="C57" s="1">
        <v>23654.16</v>
      </c>
      <c r="D57" s="1">
        <v>48057.87</v>
      </c>
      <c r="E57" s="1">
        <v>43465.34</v>
      </c>
      <c r="V57" s="27">
        <f t="shared" si="2"/>
        <v>103.4532486</v>
      </c>
      <c r="W57" s="25">
        <f t="shared" si="3"/>
        <v>104.7874341</v>
      </c>
      <c r="X57" s="25">
        <f t="shared" si="4"/>
        <v>103.812884</v>
      </c>
      <c r="Y57" s="28">
        <f t="shared" si="5"/>
        <v>102.3249343</v>
      </c>
    </row>
    <row r="58" ht="14.25" customHeight="1">
      <c r="A58" s="36">
        <v>46002.0</v>
      </c>
      <c r="B58" s="1">
        <v>6901.0</v>
      </c>
      <c r="C58" s="1">
        <v>23593.86</v>
      </c>
      <c r="D58" s="1">
        <v>48704.01</v>
      </c>
      <c r="E58" s="1">
        <v>43702.01</v>
      </c>
      <c r="V58" s="27">
        <f t="shared" si="2"/>
        <v>103.6665605</v>
      </c>
      <c r="W58" s="25">
        <f t="shared" si="3"/>
        <v>104.5203064</v>
      </c>
      <c r="X58" s="25">
        <f t="shared" si="4"/>
        <v>105.2086524</v>
      </c>
      <c r="Y58" s="28">
        <f t="shared" si="5"/>
        <v>102.8820964</v>
      </c>
    </row>
    <row r="59" ht="14.25" customHeight="1">
      <c r="A59" s="36">
        <v>46003.0</v>
      </c>
      <c r="B59" s="1">
        <v>6827.41</v>
      </c>
      <c r="C59" s="1">
        <v>23195.17</v>
      </c>
      <c r="D59" s="1">
        <v>48458.05</v>
      </c>
      <c r="E59" s="1">
        <v>43513.95</v>
      </c>
      <c r="V59" s="27">
        <f t="shared" si="2"/>
        <v>102.5610943</v>
      </c>
      <c r="W59" s="25">
        <f t="shared" si="3"/>
        <v>102.754118</v>
      </c>
      <c r="X59" s="25">
        <f t="shared" si="4"/>
        <v>104.6773385</v>
      </c>
      <c r="Y59" s="28">
        <f t="shared" si="5"/>
        <v>102.4393706</v>
      </c>
    </row>
    <row r="60" ht="14.25" customHeight="1">
      <c r="A60" s="36">
        <v>46006.0</v>
      </c>
      <c r="B60" s="1">
        <v>6816.51</v>
      </c>
      <c r="C60" s="1">
        <v>23057.41</v>
      </c>
      <c r="D60" s="1">
        <v>48416.56</v>
      </c>
      <c r="E60" s="1">
        <v>44116.96</v>
      </c>
      <c r="U60" s="1" t="s">
        <v>29</v>
      </c>
      <c r="V60" s="22">
        <f t="shared" si="2"/>
        <v>102.3973549</v>
      </c>
      <c r="W60" s="23">
        <f t="shared" si="3"/>
        <v>102.1438441</v>
      </c>
      <c r="X60" s="23">
        <f t="shared" si="4"/>
        <v>104.5877132</v>
      </c>
      <c r="Y60" s="24">
        <f t="shared" si="5"/>
        <v>103.8589605</v>
      </c>
    </row>
    <row r="61" ht="14.25" customHeight="1">
      <c r="A61" s="36">
        <v>46007.0</v>
      </c>
      <c r="B61" s="1">
        <v>6800.26</v>
      </c>
      <c r="C61" s="1">
        <v>23111.46</v>
      </c>
      <c r="D61" s="1">
        <v>48114.26</v>
      </c>
      <c r="E61" s="1">
        <v>43990.48</v>
      </c>
      <c r="V61" s="27">
        <f t="shared" si="2"/>
        <v>102.153248</v>
      </c>
      <c r="W61" s="25">
        <f t="shared" si="3"/>
        <v>102.3832844</v>
      </c>
      <c r="X61" s="25">
        <f t="shared" si="4"/>
        <v>103.9346956</v>
      </c>
      <c r="Y61" s="28">
        <f t="shared" si="5"/>
        <v>103.5612047</v>
      </c>
    </row>
    <row r="62" ht="14.25" customHeight="1">
      <c r="A62" s="36">
        <v>46008.0</v>
      </c>
      <c r="B62" s="1">
        <v>6721.43</v>
      </c>
      <c r="C62" s="1">
        <v>22693.32</v>
      </c>
      <c r="D62" s="1">
        <v>47885.97</v>
      </c>
      <c r="E62" s="1">
        <v>44099.48</v>
      </c>
      <c r="V62" s="27">
        <f t="shared" si="2"/>
        <v>100.9690668</v>
      </c>
      <c r="W62" s="25">
        <f t="shared" si="3"/>
        <v>100.530933</v>
      </c>
      <c r="X62" s="25">
        <f t="shared" si="4"/>
        <v>103.4415518</v>
      </c>
      <c r="Y62" s="28">
        <f t="shared" si="5"/>
        <v>103.8178096</v>
      </c>
    </row>
    <row r="63" ht="14.25" customHeight="1">
      <c r="A63" s="36">
        <v>46009.0</v>
      </c>
      <c r="B63" s="1">
        <v>6774.76</v>
      </c>
      <c r="C63" s="1">
        <v>23006.36</v>
      </c>
      <c r="D63" s="45">
        <v>47951.85</v>
      </c>
      <c r="E63" s="1">
        <v>44463.28</v>
      </c>
      <c r="V63" s="27">
        <f t="shared" si="2"/>
        <v>101.770188</v>
      </c>
      <c r="W63" s="25">
        <f t="shared" si="3"/>
        <v>101.9176936</v>
      </c>
      <c r="X63" s="25">
        <f t="shared" si="4"/>
        <v>103.5838634</v>
      </c>
      <c r="Y63" s="28">
        <f t="shared" si="5"/>
        <v>104.6742578</v>
      </c>
    </row>
    <row r="64" ht="14.25" customHeight="1">
      <c r="A64" s="36">
        <v>46010.0</v>
      </c>
      <c r="B64" s="1">
        <v>6834.5</v>
      </c>
      <c r="C64" s="1">
        <v>23307.62</v>
      </c>
      <c r="D64" s="1">
        <v>48134.89</v>
      </c>
      <c r="E64" s="1">
        <v>44757.55</v>
      </c>
      <c r="V64" s="33">
        <f t="shared" si="2"/>
        <v>102.6676</v>
      </c>
      <c r="W64" s="34">
        <f t="shared" si="3"/>
        <v>103.2522691</v>
      </c>
      <c r="X64" s="34">
        <f t="shared" si="4"/>
        <v>103.9792598</v>
      </c>
      <c r="Y64" s="35">
        <f t="shared" si="5"/>
        <v>105.3670203</v>
      </c>
    </row>
    <row r="65" ht="14.25" customHeight="1">
      <c r="A65" s="36">
        <v>46013.0</v>
      </c>
      <c r="B65" s="1">
        <v>6878.49</v>
      </c>
      <c r="C65" s="1">
        <v>23428.83</v>
      </c>
      <c r="D65" s="1">
        <v>48362.68</v>
      </c>
      <c r="E65" s="1">
        <v>44593.6</v>
      </c>
      <c r="U65" s="1" t="s">
        <v>30</v>
      </c>
      <c r="V65" s="27">
        <f t="shared" si="2"/>
        <v>103.3284161</v>
      </c>
      <c r="W65" s="25">
        <f t="shared" si="3"/>
        <v>103.7892269</v>
      </c>
      <c r="X65" s="25">
        <f t="shared" si="4"/>
        <v>104.4713236</v>
      </c>
      <c r="Y65" s="28">
        <f t="shared" si="5"/>
        <v>104.9810536</v>
      </c>
    </row>
    <row r="66" ht="14.25" customHeight="1">
      <c r="A66" s="36">
        <v>46014.0</v>
      </c>
      <c r="B66" s="1">
        <v>6909.79</v>
      </c>
      <c r="C66" s="1">
        <v>23561.84</v>
      </c>
      <c r="D66" s="1">
        <v>48442.41</v>
      </c>
      <c r="E66" s="1">
        <v>44606.58</v>
      </c>
      <c r="V66" s="27">
        <f t="shared" si="2"/>
        <v>103.7986036</v>
      </c>
      <c r="W66" s="25">
        <f t="shared" si="3"/>
        <v>104.3784584</v>
      </c>
      <c r="X66" s="25">
        <f t="shared" si="4"/>
        <v>104.6435535</v>
      </c>
      <c r="Y66" s="28">
        <f t="shared" si="5"/>
        <v>105.0116108</v>
      </c>
    </row>
    <row r="67" ht="14.25" customHeight="1">
      <c r="A67" s="36">
        <v>46020.0</v>
      </c>
      <c r="B67" s="1">
        <v>6905.74</v>
      </c>
      <c r="C67" s="1">
        <v>23474.35</v>
      </c>
      <c r="D67" s="1">
        <v>48461.93</v>
      </c>
      <c r="E67" s="1">
        <v>44436.01</v>
      </c>
      <c r="U67" s="1" t="s">
        <v>31</v>
      </c>
      <c r="V67" s="22">
        <f t="shared" si="2"/>
        <v>103.7377646</v>
      </c>
      <c r="W67" s="23">
        <f t="shared" si="3"/>
        <v>103.9908796</v>
      </c>
      <c r="X67" s="23">
        <f t="shared" si="4"/>
        <v>104.6857199</v>
      </c>
      <c r="Y67" s="24">
        <f t="shared" si="5"/>
        <v>104.6100595</v>
      </c>
    </row>
    <row r="68" ht="14.25" customHeight="1">
      <c r="A68" s="36">
        <v>46021.0</v>
      </c>
      <c r="B68" s="1">
        <v>6896.24</v>
      </c>
      <c r="C68" s="1">
        <v>23419.08</v>
      </c>
      <c r="D68" s="1">
        <v>48367.06</v>
      </c>
      <c r="E68" s="1">
        <v>44944.54</v>
      </c>
      <c r="V68" s="27">
        <f t="shared" si="2"/>
        <v>103.595056</v>
      </c>
      <c r="W68" s="25">
        <f t="shared" si="3"/>
        <v>103.7460346</v>
      </c>
      <c r="X68" s="25">
        <f t="shared" si="4"/>
        <v>104.4807851</v>
      </c>
      <c r="Y68" s="28">
        <f t="shared" si="5"/>
        <v>105.8072271</v>
      </c>
    </row>
    <row r="69" ht="14.25" customHeight="1">
      <c r="A69" s="36">
        <v>46024.0</v>
      </c>
      <c r="B69" s="1">
        <v>6858.47</v>
      </c>
      <c r="C69" s="1">
        <v>23235.63</v>
      </c>
      <c r="D69" s="1">
        <v>48382.39</v>
      </c>
      <c r="E69" s="1">
        <v>45374.03</v>
      </c>
      <c r="U69" s="1"/>
      <c r="V69" s="33">
        <f t="shared" si="2"/>
        <v>103.0276765</v>
      </c>
      <c r="W69" s="34">
        <f t="shared" si="3"/>
        <v>102.933355</v>
      </c>
      <c r="X69" s="34">
        <f t="shared" si="4"/>
        <v>104.5139004</v>
      </c>
      <c r="Y69" s="28">
        <f t="shared" si="5"/>
        <v>106.8183209</v>
      </c>
    </row>
    <row r="70" ht="14.25" customHeight="1">
      <c r="A70" s="36">
        <v>46027.0</v>
      </c>
      <c r="B70" s="1">
        <v>6902.05</v>
      </c>
      <c r="C70" s="1">
        <v>23395.82</v>
      </c>
      <c r="D70" s="1">
        <v>48977.18</v>
      </c>
      <c r="E70" s="1">
        <v>45847.32</v>
      </c>
      <c r="U70" s="1" t="s">
        <v>32</v>
      </c>
      <c r="V70" s="27">
        <f t="shared" si="2"/>
        <v>103.6823336</v>
      </c>
      <c r="W70" s="25">
        <f t="shared" si="3"/>
        <v>103.6429933</v>
      </c>
      <c r="X70" s="25">
        <f t="shared" si="4"/>
        <v>105.7987444</v>
      </c>
      <c r="Y70" s="24">
        <f t="shared" si="5"/>
        <v>107.9325275</v>
      </c>
    </row>
    <row r="71" ht="14.25" customHeight="1">
      <c r="A71" s="36">
        <v>46028.0</v>
      </c>
      <c r="B71" s="1">
        <v>6944.82</v>
      </c>
      <c r="C71" s="1">
        <v>23547.17</v>
      </c>
      <c r="D71" s="1">
        <v>49462.08</v>
      </c>
      <c r="E71" s="1">
        <v>45753.43</v>
      </c>
      <c r="V71" s="27">
        <f t="shared" si="2"/>
        <v>104.3248229</v>
      </c>
      <c r="W71" s="25">
        <f t="shared" si="3"/>
        <v>104.3134706</v>
      </c>
      <c r="X71" s="25">
        <f t="shared" si="4"/>
        <v>106.846208</v>
      </c>
      <c r="Y71" s="28">
        <f t="shared" si="5"/>
        <v>107.7114942</v>
      </c>
    </row>
    <row r="72" ht="14.25" customHeight="1">
      <c r="A72" s="36">
        <v>46029.0</v>
      </c>
      <c r="B72" s="1">
        <v>6920.93</v>
      </c>
      <c r="C72" s="1">
        <v>23584.28</v>
      </c>
      <c r="D72" s="1">
        <v>48996.08</v>
      </c>
      <c r="E72" s="1">
        <v>45558.68</v>
      </c>
      <c r="V72" s="27">
        <f t="shared" si="2"/>
        <v>103.9659482</v>
      </c>
      <c r="W72" s="25">
        <f t="shared" si="3"/>
        <v>104.4778672</v>
      </c>
      <c r="X72" s="25">
        <f t="shared" si="4"/>
        <v>105.8395715</v>
      </c>
      <c r="Y72" s="28">
        <f t="shared" si="5"/>
        <v>107.253019</v>
      </c>
    </row>
    <row r="73" ht="14.25" customHeight="1">
      <c r="A73" s="36">
        <v>46030.0</v>
      </c>
      <c r="B73" s="1">
        <v>6921.46</v>
      </c>
      <c r="C73" s="1">
        <v>23480.02</v>
      </c>
      <c r="D73" s="1">
        <v>49266.11</v>
      </c>
      <c r="E73" s="1">
        <v>45671.7</v>
      </c>
      <c r="V73" s="27">
        <f t="shared" si="2"/>
        <v>103.9739099</v>
      </c>
      <c r="W73" s="25">
        <f t="shared" si="3"/>
        <v>104.0159975</v>
      </c>
      <c r="X73" s="25">
        <f t="shared" si="4"/>
        <v>106.4228806</v>
      </c>
      <c r="Y73" s="28">
        <f t="shared" si="5"/>
        <v>107.5190876</v>
      </c>
    </row>
    <row r="74" ht="14.25" customHeight="1">
      <c r="A74" s="36">
        <v>46031.0</v>
      </c>
      <c r="B74" s="1">
        <v>6966.28</v>
      </c>
      <c r="C74" s="1">
        <v>23702.88</v>
      </c>
      <c r="D74" s="1">
        <v>49504.07</v>
      </c>
      <c r="E74" s="1">
        <v>45719.26</v>
      </c>
      <c r="V74" s="25">
        <f t="shared" si="2"/>
        <v>104.6471942</v>
      </c>
      <c r="W74" s="25">
        <f t="shared" si="3"/>
        <v>105.0032627</v>
      </c>
      <c r="X74" s="25">
        <f t="shared" si="4"/>
        <v>106.9369133</v>
      </c>
      <c r="Y74" s="25">
        <f t="shared" si="5"/>
        <v>107.6310521</v>
      </c>
    </row>
    <row r="75" ht="14.25" customHeight="1">
      <c r="V75" s="25"/>
      <c r="W75" s="25"/>
      <c r="X75" s="25"/>
      <c r="Y75" s="25"/>
    </row>
    <row r="76" ht="14.25" customHeight="1">
      <c r="V76" s="25"/>
      <c r="W76" s="25"/>
      <c r="X76" s="25"/>
      <c r="Y76" s="25"/>
    </row>
    <row r="77" ht="14.25" customHeight="1">
      <c r="V77" s="25"/>
      <c r="W77" s="25"/>
      <c r="X77" s="25"/>
      <c r="Y77" s="25"/>
    </row>
    <row r="78" ht="14.25" customHeight="1">
      <c r="V78" s="25"/>
      <c r="W78" s="25"/>
      <c r="X78" s="25"/>
      <c r="Y78" s="25"/>
    </row>
    <row r="79" ht="14.25" customHeight="1">
      <c r="V79" s="25"/>
      <c r="W79" s="25"/>
      <c r="X79" s="25"/>
      <c r="Y79" s="25"/>
    </row>
    <row r="80" ht="14.25" customHeight="1">
      <c r="V80" s="25"/>
      <c r="W80" s="25"/>
      <c r="X80" s="25"/>
      <c r="Y80" s="25"/>
    </row>
    <row r="81" ht="14.25" customHeight="1">
      <c r="V81" s="25"/>
      <c r="W81" s="25"/>
      <c r="X81" s="25"/>
      <c r="Y81" s="25"/>
    </row>
    <row r="82" ht="14.25" customHeight="1">
      <c r="V82" s="25"/>
      <c r="W82" s="25"/>
      <c r="X82" s="25"/>
      <c r="Y82" s="25"/>
    </row>
    <row r="83" ht="14.25" customHeight="1">
      <c r="V83" s="25"/>
      <c r="W83" s="25"/>
      <c r="X83" s="25"/>
      <c r="Y83" s="25"/>
    </row>
    <row r="84" ht="14.25" customHeight="1">
      <c r="V84" s="25"/>
      <c r="W84" s="25"/>
      <c r="X84" s="25"/>
      <c r="Y84" s="25"/>
    </row>
    <row r="85" ht="14.25" customHeight="1">
      <c r="V85" s="25"/>
      <c r="W85" s="25"/>
      <c r="X85" s="25"/>
      <c r="Y85" s="25"/>
    </row>
    <row r="86" ht="14.25" customHeight="1">
      <c r="V86" s="25"/>
      <c r="W86" s="25"/>
      <c r="X86" s="25"/>
      <c r="Y86" s="25"/>
    </row>
    <row r="87" ht="14.25" customHeight="1">
      <c r="V87" s="25"/>
      <c r="W87" s="25"/>
      <c r="X87" s="25"/>
      <c r="Y87" s="25"/>
    </row>
    <row r="88" ht="14.25" customHeight="1">
      <c r="V88" s="25"/>
      <c r="W88" s="25"/>
      <c r="X88" s="25"/>
      <c r="Y88" s="25"/>
    </row>
    <row r="89" ht="14.25" customHeight="1">
      <c r="V89" s="25"/>
      <c r="W89" s="25"/>
      <c r="X89" s="25"/>
      <c r="Y89" s="25"/>
    </row>
    <row r="90" ht="14.25" customHeight="1">
      <c r="V90" s="25"/>
      <c r="W90" s="25"/>
      <c r="X90" s="25"/>
      <c r="Y90" s="25"/>
    </row>
    <row r="91" ht="14.25" customHeight="1">
      <c r="V91" s="25"/>
      <c r="W91" s="25"/>
      <c r="X91" s="25"/>
      <c r="Y91" s="25"/>
    </row>
    <row r="92" ht="14.25" customHeight="1">
      <c r="V92" s="25"/>
      <c r="W92" s="25"/>
      <c r="X92" s="25"/>
      <c r="Y92" s="25"/>
    </row>
    <row r="93" ht="14.25" customHeight="1">
      <c r="V93" s="25"/>
      <c r="W93" s="25"/>
      <c r="X93" s="25"/>
      <c r="Y93" s="25"/>
    </row>
    <row r="94" ht="14.25" customHeight="1">
      <c r="V94" s="25"/>
      <c r="W94" s="25"/>
      <c r="X94" s="25"/>
      <c r="Y94" s="25"/>
    </row>
    <row r="95" ht="14.25" customHeight="1">
      <c r="V95" s="25"/>
      <c r="W95" s="25"/>
      <c r="X95" s="25"/>
      <c r="Y95" s="25"/>
    </row>
    <row r="96" ht="14.25" customHeight="1">
      <c r="V96" s="25"/>
      <c r="W96" s="25"/>
      <c r="X96" s="25"/>
      <c r="Y96" s="25"/>
    </row>
    <row r="97" ht="14.25" customHeight="1">
      <c r="V97" s="25"/>
      <c r="W97" s="25"/>
      <c r="X97" s="25"/>
      <c r="Y97" s="25"/>
    </row>
    <row r="98" ht="14.25" customHeight="1">
      <c r="V98" s="25"/>
      <c r="W98" s="25"/>
      <c r="X98" s="25"/>
      <c r="Y98" s="25"/>
    </row>
    <row r="99" ht="14.25" customHeight="1">
      <c r="V99" s="25"/>
      <c r="W99" s="25"/>
      <c r="X99" s="25"/>
      <c r="Y99" s="25"/>
    </row>
    <row r="100" ht="14.25" customHeight="1">
      <c r="V100" s="25"/>
      <c r="W100" s="25"/>
      <c r="X100" s="25"/>
      <c r="Y100" s="25"/>
    </row>
    <row r="101" ht="14.25" customHeight="1">
      <c r="V101" s="25"/>
      <c r="W101" s="25"/>
      <c r="X101" s="25"/>
      <c r="Y101" s="25"/>
    </row>
    <row r="102" ht="14.25" customHeight="1">
      <c r="V102" s="25"/>
      <c r="W102" s="25"/>
      <c r="X102" s="25"/>
      <c r="Y102" s="25"/>
    </row>
    <row r="103" ht="14.25" customHeight="1">
      <c r="V103" s="25"/>
      <c r="W103" s="25"/>
      <c r="X103" s="25"/>
      <c r="Y103" s="25"/>
    </row>
    <row r="104" ht="14.25" customHeight="1">
      <c r="V104" s="25"/>
      <c r="W104" s="25"/>
      <c r="X104" s="25"/>
      <c r="Y104" s="25"/>
    </row>
    <row r="105" ht="14.25" customHeight="1">
      <c r="V105" s="25"/>
      <c r="W105" s="25"/>
      <c r="X105" s="25"/>
      <c r="Y105" s="25"/>
    </row>
    <row r="106" ht="14.25" customHeight="1">
      <c r="V106" s="25"/>
      <c r="W106" s="25"/>
      <c r="X106" s="25"/>
      <c r="Y106" s="25"/>
    </row>
    <row r="107" ht="14.25" customHeight="1">
      <c r="V107" s="25"/>
      <c r="W107" s="25"/>
      <c r="X107" s="25"/>
      <c r="Y107" s="25"/>
    </row>
    <row r="108" ht="14.25" customHeight="1">
      <c r="V108" s="25"/>
      <c r="W108" s="25"/>
      <c r="X108" s="25"/>
      <c r="Y108" s="25"/>
    </row>
    <row r="109" ht="14.25" customHeight="1">
      <c r="V109" s="25"/>
      <c r="W109" s="25"/>
      <c r="X109" s="25"/>
      <c r="Y109" s="25"/>
    </row>
    <row r="110" ht="14.25" customHeight="1">
      <c r="V110" s="25"/>
      <c r="W110" s="25"/>
      <c r="X110" s="25"/>
      <c r="Y110" s="25"/>
    </row>
    <row r="111" ht="14.25" customHeight="1">
      <c r="V111" s="25"/>
      <c r="W111" s="25"/>
      <c r="X111" s="25"/>
      <c r="Y111" s="25"/>
    </row>
    <row r="112" ht="14.25" customHeight="1">
      <c r="V112" s="25"/>
      <c r="W112" s="25"/>
      <c r="X112" s="25"/>
      <c r="Y112" s="25"/>
    </row>
    <row r="113" ht="14.25" customHeight="1">
      <c r="V113" s="25"/>
      <c r="W113" s="25"/>
      <c r="X113" s="25"/>
      <c r="Y113" s="25"/>
    </row>
    <row r="114" ht="14.25" customHeight="1">
      <c r="V114" s="25"/>
      <c r="W114" s="25"/>
      <c r="X114" s="25"/>
      <c r="Y114" s="25"/>
    </row>
    <row r="115" ht="14.25" customHeight="1">
      <c r="V115" s="25"/>
      <c r="W115" s="25"/>
      <c r="X115" s="25"/>
      <c r="Y115" s="25"/>
    </row>
    <row r="116" ht="14.25" customHeight="1">
      <c r="V116" s="25"/>
      <c r="W116" s="25"/>
      <c r="X116" s="25"/>
      <c r="Y116" s="25"/>
    </row>
    <row r="117" ht="14.25" customHeight="1">
      <c r="V117" s="25"/>
      <c r="W117" s="25"/>
      <c r="X117" s="25"/>
      <c r="Y117" s="25"/>
    </row>
    <row r="118" ht="14.25" customHeight="1">
      <c r="V118" s="25"/>
      <c r="W118" s="25"/>
      <c r="X118" s="25"/>
      <c r="Y118" s="25"/>
    </row>
    <row r="119" ht="14.25" customHeight="1">
      <c r="V119" s="25"/>
      <c r="W119" s="25"/>
      <c r="X119" s="25"/>
      <c r="Y119" s="25"/>
    </row>
    <row r="120" ht="14.25" customHeight="1">
      <c r="V120" s="25"/>
      <c r="W120" s="25"/>
      <c r="X120" s="25"/>
      <c r="Y120" s="25"/>
    </row>
    <row r="121" ht="14.25" customHeight="1">
      <c r="V121" s="25"/>
      <c r="W121" s="25"/>
      <c r="X121" s="25"/>
      <c r="Y121" s="25"/>
    </row>
    <row r="122" ht="14.25" customHeight="1">
      <c r="V122" s="25"/>
      <c r="W122" s="25"/>
      <c r="X122" s="25"/>
      <c r="Y122" s="25"/>
    </row>
    <row r="123" ht="14.25" customHeight="1">
      <c r="V123" s="25"/>
      <c r="W123" s="25"/>
      <c r="X123" s="25"/>
      <c r="Y123" s="25"/>
    </row>
    <row r="124" ht="14.25" customHeight="1">
      <c r="V124" s="25"/>
      <c r="W124" s="25"/>
      <c r="X124" s="25"/>
      <c r="Y124" s="25"/>
    </row>
    <row r="125" ht="14.25" customHeight="1">
      <c r="V125" s="25"/>
      <c r="W125" s="25"/>
      <c r="X125" s="25"/>
      <c r="Y125" s="25"/>
    </row>
    <row r="126" ht="14.25" customHeight="1">
      <c r="V126" s="25"/>
      <c r="W126" s="25"/>
      <c r="X126" s="25"/>
      <c r="Y126" s="25"/>
    </row>
    <row r="127" ht="14.25" customHeight="1">
      <c r="V127" s="25"/>
      <c r="W127" s="25"/>
      <c r="X127" s="25"/>
      <c r="Y127" s="25"/>
    </row>
    <row r="128" ht="14.25" customHeight="1">
      <c r="V128" s="25"/>
      <c r="W128" s="25"/>
      <c r="X128" s="25"/>
      <c r="Y128" s="25"/>
    </row>
    <row r="129" ht="14.25" customHeight="1">
      <c r="V129" s="25"/>
      <c r="W129" s="25"/>
      <c r="X129" s="25"/>
      <c r="Y129" s="25"/>
    </row>
    <row r="130" ht="14.25" customHeight="1">
      <c r="V130" s="25"/>
      <c r="W130" s="25"/>
      <c r="X130" s="25"/>
      <c r="Y130" s="25"/>
    </row>
    <row r="131" ht="14.25" customHeight="1">
      <c r="V131" s="25"/>
      <c r="W131" s="25"/>
      <c r="X131" s="25"/>
      <c r="Y131" s="25"/>
    </row>
    <row r="132" ht="14.25" customHeight="1">
      <c r="V132" s="25"/>
      <c r="W132" s="25"/>
      <c r="X132" s="25"/>
      <c r="Y132" s="25"/>
    </row>
    <row r="133" ht="14.25" customHeight="1">
      <c r="V133" s="25"/>
      <c r="W133" s="25"/>
      <c r="X133" s="25"/>
      <c r="Y133" s="25"/>
    </row>
    <row r="134" ht="14.25" customHeight="1">
      <c r="V134" s="25"/>
      <c r="W134" s="25"/>
      <c r="X134" s="25"/>
      <c r="Y134" s="25"/>
    </row>
    <row r="135" ht="14.25" customHeight="1">
      <c r="V135" s="25"/>
      <c r="W135" s="25"/>
      <c r="X135" s="25"/>
      <c r="Y135" s="25"/>
    </row>
    <row r="136" ht="14.25" customHeight="1">
      <c r="V136" s="25"/>
      <c r="W136" s="25"/>
      <c r="X136" s="25"/>
      <c r="Y136" s="25"/>
    </row>
    <row r="137" ht="14.25" customHeight="1">
      <c r="V137" s="25"/>
      <c r="W137" s="25"/>
      <c r="X137" s="25"/>
      <c r="Y137" s="25"/>
    </row>
    <row r="138" ht="14.25" customHeight="1">
      <c r="V138" s="25"/>
      <c r="W138" s="25"/>
      <c r="X138" s="25"/>
      <c r="Y138" s="25"/>
    </row>
    <row r="139" ht="14.25" customHeight="1">
      <c r="V139" s="25"/>
      <c r="W139" s="25"/>
      <c r="X139" s="25"/>
      <c r="Y139" s="25"/>
    </row>
    <row r="140" ht="14.25" customHeight="1">
      <c r="V140" s="25"/>
      <c r="W140" s="25"/>
      <c r="X140" s="25"/>
      <c r="Y140" s="25"/>
    </row>
    <row r="141" ht="14.25" customHeight="1">
      <c r="V141" s="25"/>
      <c r="W141" s="25"/>
      <c r="X141" s="25"/>
      <c r="Y141" s="25"/>
    </row>
    <row r="142" ht="14.25" customHeight="1">
      <c r="V142" s="25"/>
      <c r="W142" s="25"/>
      <c r="X142" s="25"/>
      <c r="Y142" s="25"/>
    </row>
    <row r="143" ht="14.25" customHeight="1">
      <c r="V143" s="25"/>
      <c r="W143" s="25"/>
      <c r="X143" s="25"/>
      <c r="Y143" s="25"/>
    </row>
    <row r="144" ht="14.25" customHeight="1">
      <c r="V144" s="25"/>
      <c r="W144" s="25"/>
      <c r="X144" s="25"/>
      <c r="Y144" s="25"/>
    </row>
    <row r="145" ht="14.25" customHeight="1">
      <c r="V145" s="25"/>
      <c r="W145" s="25"/>
      <c r="X145" s="25"/>
      <c r="Y145" s="25"/>
    </row>
    <row r="146" ht="14.25" customHeight="1">
      <c r="V146" s="25"/>
      <c r="W146" s="25"/>
      <c r="X146" s="25"/>
      <c r="Y146" s="25"/>
    </row>
    <row r="147" ht="14.25" customHeight="1">
      <c r="V147" s="25"/>
      <c r="W147" s="25"/>
      <c r="X147" s="25"/>
      <c r="Y147" s="25"/>
    </row>
    <row r="148" ht="14.25" customHeight="1">
      <c r="V148" s="25"/>
      <c r="W148" s="25"/>
      <c r="X148" s="25"/>
      <c r="Y148" s="25"/>
    </row>
    <row r="149" ht="14.25" customHeight="1">
      <c r="V149" s="25"/>
      <c r="W149" s="25"/>
      <c r="X149" s="25"/>
      <c r="Y149" s="25"/>
    </row>
    <row r="150" ht="14.25" customHeight="1">
      <c r="V150" s="25"/>
      <c r="W150" s="25"/>
      <c r="X150" s="25"/>
      <c r="Y150" s="25"/>
    </row>
    <row r="151" ht="14.25" customHeight="1">
      <c r="V151" s="25"/>
      <c r="W151" s="25"/>
      <c r="X151" s="25"/>
      <c r="Y151" s="25"/>
    </row>
    <row r="152" ht="14.25" customHeight="1">
      <c r="V152" s="25"/>
      <c r="W152" s="25"/>
      <c r="X152" s="25"/>
      <c r="Y152" s="25"/>
    </row>
    <row r="153" ht="14.25" customHeight="1">
      <c r="V153" s="25"/>
      <c r="W153" s="25"/>
      <c r="X153" s="25"/>
      <c r="Y153" s="25"/>
    </row>
    <row r="154" ht="14.25" customHeight="1">
      <c r="V154" s="25"/>
      <c r="W154" s="25"/>
      <c r="X154" s="25"/>
      <c r="Y154" s="25"/>
    </row>
    <row r="155" ht="14.25" customHeight="1">
      <c r="V155" s="25"/>
      <c r="W155" s="25"/>
      <c r="X155" s="25"/>
      <c r="Y155" s="25"/>
    </row>
    <row r="156" ht="14.25" customHeight="1">
      <c r="V156" s="25"/>
      <c r="W156" s="25"/>
      <c r="X156" s="25"/>
      <c r="Y156" s="25"/>
    </row>
    <row r="157" ht="14.25" customHeight="1">
      <c r="V157" s="25"/>
      <c r="W157" s="25"/>
      <c r="X157" s="25"/>
      <c r="Y157" s="25"/>
    </row>
    <row r="158" ht="14.25" customHeight="1">
      <c r="V158" s="25"/>
      <c r="W158" s="25"/>
      <c r="X158" s="25"/>
      <c r="Y158" s="25"/>
    </row>
    <row r="159" ht="14.25" customHeight="1">
      <c r="V159" s="25"/>
      <c r="W159" s="25"/>
      <c r="X159" s="25"/>
      <c r="Y159" s="25"/>
    </row>
    <row r="160" ht="14.25" customHeight="1">
      <c r="V160" s="25"/>
      <c r="W160" s="25"/>
      <c r="X160" s="25"/>
      <c r="Y160" s="25"/>
    </row>
    <row r="161" ht="14.25" customHeight="1">
      <c r="V161" s="25"/>
      <c r="W161" s="25"/>
      <c r="X161" s="25"/>
      <c r="Y161" s="25"/>
    </row>
    <row r="162" ht="14.25" customHeight="1">
      <c r="V162" s="25"/>
      <c r="W162" s="25"/>
      <c r="X162" s="25"/>
      <c r="Y162" s="25"/>
    </row>
    <row r="163" ht="14.25" customHeight="1">
      <c r="V163" s="25"/>
      <c r="W163" s="25"/>
      <c r="X163" s="25"/>
      <c r="Y163" s="25"/>
    </row>
    <row r="164" ht="14.25" customHeight="1">
      <c r="V164" s="25"/>
      <c r="W164" s="25"/>
      <c r="X164" s="25"/>
      <c r="Y164" s="25"/>
    </row>
    <row r="165" ht="14.25" customHeight="1">
      <c r="V165" s="25"/>
      <c r="W165" s="25"/>
      <c r="X165" s="25"/>
      <c r="Y165" s="25"/>
    </row>
    <row r="166" ht="14.25" customHeight="1">
      <c r="V166" s="25"/>
      <c r="W166" s="25"/>
      <c r="X166" s="25"/>
      <c r="Y166" s="25"/>
    </row>
    <row r="167" ht="14.25" customHeight="1">
      <c r="V167" s="25"/>
      <c r="W167" s="25"/>
      <c r="X167" s="25"/>
      <c r="Y167" s="25"/>
    </row>
    <row r="168" ht="14.25" customHeight="1">
      <c r="V168" s="25"/>
      <c r="W168" s="25"/>
      <c r="X168" s="25"/>
      <c r="Y168" s="25"/>
    </row>
    <row r="169" ht="14.25" customHeight="1">
      <c r="V169" s="25"/>
      <c r="W169" s="25"/>
      <c r="X169" s="25"/>
      <c r="Y169" s="25"/>
    </row>
    <row r="170" ht="14.25" customHeight="1">
      <c r="V170" s="25"/>
      <c r="W170" s="25"/>
      <c r="X170" s="25"/>
      <c r="Y170" s="25"/>
    </row>
    <row r="171" ht="14.25" customHeight="1">
      <c r="V171" s="25"/>
      <c r="W171" s="25"/>
      <c r="X171" s="25"/>
      <c r="Y171" s="25"/>
    </row>
    <row r="172" ht="14.25" customHeight="1">
      <c r="V172" s="25"/>
      <c r="W172" s="25"/>
      <c r="X172" s="25"/>
      <c r="Y172" s="25"/>
    </row>
    <row r="173" ht="14.25" customHeight="1">
      <c r="V173" s="25"/>
      <c r="W173" s="25"/>
      <c r="X173" s="25"/>
      <c r="Y173" s="25"/>
    </row>
    <row r="174" ht="14.25" customHeight="1">
      <c r="V174" s="25"/>
      <c r="W174" s="25"/>
      <c r="X174" s="25"/>
      <c r="Y174" s="25"/>
    </row>
    <row r="175" ht="14.25" customHeight="1">
      <c r="V175" s="25"/>
      <c r="W175" s="25"/>
      <c r="X175" s="25"/>
      <c r="Y175" s="25"/>
    </row>
    <row r="176" ht="14.25" customHeight="1">
      <c r="V176" s="25"/>
      <c r="W176" s="25"/>
      <c r="X176" s="25"/>
      <c r="Y176" s="25"/>
    </row>
    <row r="177" ht="14.25" customHeight="1">
      <c r="V177" s="25"/>
      <c r="W177" s="25"/>
      <c r="X177" s="25"/>
      <c r="Y177" s="25"/>
    </row>
    <row r="178" ht="14.25" customHeight="1">
      <c r="V178" s="25"/>
      <c r="W178" s="25"/>
      <c r="X178" s="25"/>
      <c r="Y178" s="25"/>
    </row>
    <row r="179" ht="14.25" customHeight="1">
      <c r="V179" s="25"/>
      <c r="W179" s="25"/>
      <c r="X179" s="25"/>
      <c r="Y179" s="25"/>
    </row>
    <row r="180" ht="14.25" customHeight="1">
      <c r="V180" s="25"/>
      <c r="W180" s="25"/>
      <c r="X180" s="25"/>
      <c r="Y180" s="25"/>
    </row>
    <row r="181" ht="14.25" customHeight="1">
      <c r="V181" s="25"/>
      <c r="W181" s="25"/>
      <c r="X181" s="25"/>
      <c r="Y181" s="25"/>
    </row>
    <row r="182" ht="14.25" customHeight="1">
      <c r="V182" s="25"/>
      <c r="W182" s="25"/>
      <c r="X182" s="25"/>
      <c r="Y182" s="25"/>
    </row>
    <row r="183" ht="14.25" customHeight="1">
      <c r="V183" s="25"/>
      <c r="W183" s="25"/>
      <c r="X183" s="25"/>
      <c r="Y183" s="25"/>
    </row>
    <row r="184" ht="14.25" customHeight="1">
      <c r="V184" s="25"/>
      <c r="W184" s="25"/>
      <c r="X184" s="25"/>
      <c r="Y184" s="25"/>
    </row>
    <row r="185" ht="14.25" customHeight="1">
      <c r="V185" s="25"/>
      <c r="W185" s="25"/>
      <c r="X185" s="25"/>
      <c r="Y185" s="25"/>
    </row>
    <row r="186" ht="14.25" customHeight="1">
      <c r="V186" s="25"/>
      <c r="W186" s="25"/>
      <c r="X186" s="25"/>
      <c r="Y186" s="25"/>
    </row>
    <row r="187" ht="14.25" customHeight="1">
      <c r="V187" s="25"/>
      <c r="W187" s="25"/>
      <c r="X187" s="25"/>
      <c r="Y187" s="25"/>
    </row>
    <row r="188" ht="14.25" customHeight="1">
      <c r="V188" s="25"/>
      <c r="W188" s="25"/>
      <c r="X188" s="25"/>
      <c r="Y188" s="25"/>
    </row>
    <row r="189" ht="14.25" customHeight="1">
      <c r="V189" s="25"/>
      <c r="W189" s="25"/>
      <c r="X189" s="25"/>
      <c r="Y189" s="25"/>
    </row>
    <row r="190" ht="14.25" customHeight="1">
      <c r="V190" s="25"/>
      <c r="W190" s="25"/>
      <c r="X190" s="25"/>
      <c r="Y190" s="25"/>
    </row>
    <row r="191" ht="14.25" customHeight="1">
      <c r="V191" s="25"/>
      <c r="W191" s="25"/>
      <c r="X191" s="25"/>
      <c r="Y191" s="25"/>
    </row>
    <row r="192" ht="14.25" customHeight="1">
      <c r="V192" s="25"/>
      <c r="W192" s="25"/>
      <c r="X192" s="25"/>
      <c r="Y192" s="25"/>
    </row>
    <row r="193" ht="14.25" customHeight="1">
      <c r="V193" s="25"/>
      <c r="W193" s="25"/>
      <c r="X193" s="25"/>
      <c r="Y193" s="25"/>
    </row>
    <row r="194" ht="14.25" customHeight="1">
      <c r="V194" s="25"/>
      <c r="W194" s="25"/>
      <c r="X194" s="25"/>
      <c r="Y194" s="25"/>
    </row>
    <row r="195" ht="14.25" customHeight="1">
      <c r="V195" s="25"/>
      <c r="W195" s="25"/>
      <c r="X195" s="25"/>
      <c r="Y195" s="25"/>
    </row>
    <row r="196" ht="14.25" customHeight="1">
      <c r="V196" s="25"/>
      <c r="W196" s="25"/>
      <c r="X196" s="25"/>
      <c r="Y196" s="25"/>
    </row>
    <row r="197" ht="14.25" customHeight="1">
      <c r="V197" s="25"/>
      <c r="W197" s="25"/>
      <c r="X197" s="25"/>
      <c r="Y197" s="25"/>
    </row>
    <row r="198" ht="14.25" customHeight="1">
      <c r="V198" s="25"/>
      <c r="W198" s="25"/>
      <c r="X198" s="25"/>
      <c r="Y198" s="25"/>
    </row>
    <row r="199" ht="14.25" customHeight="1">
      <c r="V199" s="25"/>
      <c r="W199" s="25"/>
      <c r="X199" s="25"/>
      <c r="Y199" s="25"/>
    </row>
    <row r="200" ht="14.25" customHeight="1">
      <c r="V200" s="25"/>
      <c r="W200" s="25"/>
      <c r="X200" s="25"/>
      <c r="Y200" s="25"/>
    </row>
    <row r="201" ht="14.25" customHeight="1">
      <c r="V201" s="25"/>
      <c r="W201" s="25"/>
      <c r="X201" s="25"/>
      <c r="Y201" s="25"/>
    </row>
    <row r="202" ht="14.25" customHeight="1">
      <c r="V202" s="25"/>
      <c r="W202" s="25"/>
      <c r="X202" s="25"/>
      <c r="Y202" s="25"/>
    </row>
    <row r="203" ht="14.25" customHeight="1">
      <c r="V203" s="25"/>
      <c r="W203" s="25"/>
      <c r="X203" s="25"/>
      <c r="Y203" s="25"/>
    </row>
    <row r="204" ht="14.25" customHeight="1">
      <c r="V204" s="25"/>
      <c r="W204" s="25"/>
      <c r="X204" s="25"/>
      <c r="Y204" s="25"/>
    </row>
    <row r="205" ht="14.25" customHeight="1">
      <c r="V205" s="25"/>
      <c r="W205" s="25"/>
      <c r="X205" s="25"/>
      <c r="Y205" s="25"/>
    </row>
    <row r="206" ht="14.25" customHeight="1">
      <c r="V206" s="25"/>
      <c r="W206" s="25"/>
      <c r="X206" s="25"/>
      <c r="Y206" s="25"/>
    </row>
    <row r="207" ht="14.25" customHeight="1">
      <c r="V207" s="25"/>
      <c r="W207" s="25"/>
      <c r="X207" s="25"/>
      <c r="Y207" s="25"/>
    </row>
    <row r="208" ht="14.25" customHeight="1">
      <c r="V208" s="25"/>
      <c r="W208" s="25"/>
      <c r="X208" s="25"/>
      <c r="Y208" s="25"/>
    </row>
    <row r="209" ht="14.25" customHeight="1">
      <c r="V209" s="25"/>
      <c r="W209" s="25"/>
      <c r="X209" s="25"/>
      <c r="Y209" s="25"/>
    </row>
    <row r="210" ht="14.25" customHeight="1">
      <c r="V210" s="25"/>
      <c r="W210" s="25"/>
      <c r="X210" s="25"/>
      <c r="Y210" s="25"/>
    </row>
    <row r="211" ht="14.25" customHeight="1">
      <c r="V211" s="25"/>
      <c r="W211" s="25"/>
      <c r="X211" s="25"/>
      <c r="Y211" s="25"/>
    </row>
    <row r="212" ht="14.25" customHeight="1">
      <c r="V212" s="25"/>
      <c r="W212" s="25"/>
      <c r="X212" s="25"/>
      <c r="Y212" s="25"/>
    </row>
    <row r="213" ht="14.25" customHeight="1">
      <c r="V213" s="25"/>
      <c r="W213" s="25"/>
      <c r="X213" s="25"/>
      <c r="Y213" s="25"/>
    </row>
    <row r="214" ht="14.25" customHeight="1">
      <c r="V214" s="25"/>
      <c r="W214" s="25"/>
      <c r="X214" s="25"/>
      <c r="Y214" s="25"/>
    </row>
    <row r="215" ht="14.25" customHeight="1">
      <c r="V215" s="25"/>
      <c r="W215" s="25"/>
      <c r="X215" s="25"/>
      <c r="Y215" s="25"/>
    </row>
    <row r="216" ht="14.25" customHeight="1">
      <c r="V216" s="25"/>
      <c r="W216" s="25"/>
      <c r="X216" s="25"/>
      <c r="Y216" s="25"/>
    </row>
    <row r="217" ht="14.25" customHeight="1">
      <c r="V217" s="25"/>
      <c r="W217" s="25"/>
      <c r="X217" s="25"/>
      <c r="Y217" s="25"/>
    </row>
    <row r="218" ht="14.25" customHeight="1">
      <c r="V218" s="25"/>
      <c r="W218" s="25"/>
      <c r="X218" s="25"/>
      <c r="Y218" s="25"/>
    </row>
    <row r="219" ht="14.25" customHeight="1">
      <c r="V219" s="25"/>
      <c r="W219" s="25"/>
      <c r="X219" s="25"/>
      <c r="Y219" s="25"/>
    </row>
    <row r="220" ht="14.25" customHeight="1">
      <c r="V220" s="25"/>
      <c r="W220" s="25"/>
      <c r="X220" s="25"/>
      <c r="Y220" s="25"/>
    </row>
    <row r="221" ht="14.25" customHeight="1">
      <c r="V221" s="25"/>
      <c r="W221" s="25"/>
      <c r="X221" s="25"/>
      <c r="Y221" s="25"/>
    </row>
    <row r="222" ht="14.25" customHeight="1">
      <c r="V222" s="25"/>
      <c r="W222" s="25"/>
      <c r="X222" s="25"/>
      <c r="Y222" s="25"/>
    </row>
    <row r="223" ht="14.25" customHeight="1">
      <c r="V223" s="25"/>
      <c r="W223" s="25"/>
      <c r="X223" s="25"/>
      <c r="Y223" s="25"/>
    </row>
    <row r="224" ht="14.25" customHeight="1">
      <c r="V224" s="25"/>
      <c r="W224" s="25"/>
      <c r="X224" s="25"/>
      <c r="Y224" s="25"/>
    </row>
    <row r="225" ht="14.25" customHeight="1">
      <c r="V225" s="25"/>
      <c r="W225" s="25"/>
      <c r="X225" s="25"/>
      <c r="Y225" s="25"/>
    </row>
    <row r="226" ht="14.25" customHeight="1">
      <c r="V226" s="25"/>
      <c r="W226" s="25"/>
      <c r="X226" s="25"/>
      <c r="Y226" s="25"/>
    </row>
    <row r="227" ht="14.25" customHeight="1">
      <c r="V227" s="25"/>
      <c r="W227" s="25"/>
      <c r="X227" s="25"/>
      <c r="Y227" s="25"/>
    </row>
    <row r="228" ht="14.25" customHeight="1">
      <c r="V228" s="25"/>
      <c r="W228" s="25"/>
      <c r="X228" s="25"/>
      <c r="Y228" s="25"/>
    </row>
    <row r="229" ht="14.25" customHeight="1">
      <c r="V229" s="25"/>
      <c r="W229" s="25"/>
      <c r="X229" s="25"/>
      <c r="Y229" s="25"/>
    </row>
    <row r="230" ht="14.25" customHeight="1">
      <c r="V230" s="25"/>
      <c r="W230" s="25"/>
      <c r="X230" s="25"/>
      <c r="Y230" s="25"/>
    </row>
    <row r="231" ht="14.25" customHeight="1">
      <c r="V231" s="25"/>
      <c r="W231" s="25"/>
      <c r="X231" s="25"/>
      <c r="Y231" s="25"/>
    </row>
    <row r="232" ht="14.25" customHeight="1">
      <c r="V232" s="25"/>
      <c r="W232" s="25"/>
      <c r="X232" s="25"/>
      <c r="Y232" s="25"/>
    </row>
    <row r="233" ht="14.25" customHeight="1">
      <c r="V233" s="25"/>
      <c r="W233" s="25"/>
      <c r="X233" s="25"/>
      <c r="Y233" s="25"/>
    </row>
    <row r="234" ht="14.25" customHeight="1">
      <c r="V234" s="25"/>
      <c r="W234" s="25"/>
      <c r="X234" s="25"/>
      <c r="Y234" s="25"/>
    </row>
    <row r="235" ht="14.25" customHeight="1">
      <c r="V235" s="25"/>
      <c r="W235" s="25"/>
      <c r="X235" s="25"/>
      <c r="Y235" s="25"/>
    </row>
    <row r="236" ht="14.25" customHeight="1">
      <c r="V236" s="25"/>
      <c r="W236" s="25"/>
      <c r="X236" s="25"/>
      <c r="Y236" s="25"/>
    </row>
    <row r="237" ht="14.25" customHeight="1">
      <c r="V237" s="25"/>
      <c r="W237" s="25"/>
      <c r="X237" s="25"/>
      <c r="Y237" s="25"/>
    </row>
    <row r="238" ht="14.25" customHeight="1">
      <c r="V238" s="25"/>
      <c r="W238" s="25"/>
      <c r="X238" s="25"/>
      <c r="Y238" s="25"/>
    </row>
    <row r="239" ht="14.25" customHeight="1">
      <c r="V239" s="25"/>
      <c r="W239" s="25"/>
      <c r="X239" s="25"/>
      <c r="Y239" s="25"/>
    </row>
    <row r="240" ht="14.25" customHeight="1">
      <c r="V240" s="25"/>
      <c r="W240" s="25"/>
      <c r="X240" s="25"/>
      <c r="Y240" s="25"/>
    </row>
    <row r="241" ht="14.25" customHeight="1">
      <c r="V241" s="25"/>
      <c r="W241" s="25"/>
      <c r="X241" s="25"/>
      <c r="Y241" s="25"/>
    </row>
    <row r="242" ht="14.25" customHeight="1">
      <c r="V242" s="25"/>
      <c r="W242" s="25"/>
      <c r="X242" s="25"/>
      <c r="Y242" s="25"/>
    </row>
    <row r="243" ht="14.25" customHeight="1">
      <c r="V243" s="25"/>
      <c r="W243" s="25"/>
      <c r="X243" s="25"/>
      <c r="Y243" s="25"/>
    </row>
    <row r="244" ht="14.25" customHeight="1">
      <c r="V244" s="25"/>
      <c r="W244" s="25"/>
      <c r="X244" s="25"/>
      <c r="Y244" s="25"/>
    </row>
    <row r="245" ht="14.25" customHeight="1">
      <c r="V245" s="25"/>
      <c r="W245" s="25"/>
      <c r="X245" s="25"/>
      <c r="Y245" s="25"/>
    </row>
    <row r="246" ht="14.25" customHeight="1">
      <c r="V246" s="25"/>
      <c r="W246" s="25"/>
      <c r="X246" s="25"/>
      <c r="Y246" s="25"/>
    </row>
    <row r="247" ht="14.25" customHeight="1">
      <c r="V247" s="25"/>
      <c r="W247" s="25"/>
      <c r="X247" s="25"/>
      <c r="Y247" s="25"/>
    </row>
    <row r="248" ht="14.25" customHeight="1">
      <c r="V248" s="25"/>
      <c r="W248" s="25"/>
      <c r="X248" s="25"/>
      <c r="Y248" s="25"/>
    </row>
    <row r="249" ht="14.25" customHeight="1">
      <c r="V249" s="25"/>
      <c r="W249" s="25"/>
      <c r="X249" s="25"/>
      <c r="Y249" s="25"/>
    </row>
    <row r="250" ht="14.25" customHeight="1">
      <c r="V250" s="25"/>
      <c r="W250" s="25"/>
      <c r="X250" s="25"/>
      <c r="Y250" s="25"/>
    </row>
    <row r="251" ht="14.25" customHeight="1">
      <c r="V251" s="25"/>
      <c r="W251" s="25"/>
      <c r="X251" s="25"/>
      <c r="Y251" s="25"/>
    </row>
    <row r="252" ht="14.25" customHeight="1">
      <c r="V252" s="25"/>
      <c r="W252" s="25"/>
      <c r="X252" s="25"/>
      <c r="Y252" s="25"/>
    </row>
    <row r="253" ht="14.25" customHeight="1">
      <c r="V253" s="25"/>
      <c r="W253" s="25"/>
      <c r="X253" s="25"/>
      <c r="Y253" s="25"/>
    </row>
    <row r="254" ht="14.25" customHeight="1">
      <c r="V254" s="25"/>
      <c r="W254" s="25"/>
      <c r="X254" s="25"/>
      <c r="Y254" s="25"/>
    </row>
    <row r="255" ht="14.25" customHeight="1">
      <c r="V255" s="25"/>
      <c r="W255" s="25"/>
      <c r="X255" s="25"/>
      <c r="Y255" s="25"/>
    </row>
    <row r="256" ht="14.25" customHeight="1">
      <c r="V256" s="25"/>
      <c r="W256" s="25"/>
      <c r="X256" s="25"/>
      <c r="Y256" s="25"/>
    </row>
    <row r="257" ht="14.25" customHeight="1">
      <c r="V257" s="25"/>
      <c r="W257" s="25"/>
      <c r="X257" s="25"/>
      <c r="Y257" s="25"/>
    </row>
    <row r="258" ht="14.25" customHeight="1">
      <c r="V258" s="25"/>
      <c r="W258" s="25"/>
      <c r="X258" s="25"/>
      <c r="Y258" s="25"/>
    </row>
    <row r="259" ht="14.25" customHeight="1">
      <c r="V259" s="25"/>
      <c r="W259" s="25"/>
      <c r="X259" s="25"/>
      <c r="Y259" s="25"/>
    </row>
    <row r="260" ht="14.25" customHeight="1">
      <c r="V260" s="25"/>
      <c r="W260" s="25"/>
      <c r="X260" s="25"/>
      <c r="Y260" s="25"/>
    </row>
    <row r="261" ht="14.25" customHeight="1">
      <c r="V261" s="25"/>
      <c r="W261" s="25"/>
      <c r="X261" s="25"/>
      <c r="Y261" s="25"/>
    </row>
    <row r="262" ht="14.25" customHeight="1">
      <c r="V262" s="25"/>
      <c r="W262" s="25"/>
      <c r="X262" s="25"/>
      <c r="Y262" s="25"/>
    </row>
    <row r="263" ht="14.25" customHeight="1">
      <c r="V263" s="25"/>
      <c r="W263" s="25"/>
      <c r="X263" s="25"/>
      <c r="Y263" s="25"/>
    </row>
    <row r="264" ht="14.25" customHeight="1">
      <c r="V264" s="25"/>
      <c r="W264" s="25"/>
      <c r="X264" s="25"/>
      <c r="Y264" s="25"/>
    </row>
    <row r="265" ht="14.25" customHeight="1">
      <c r="V265" s="25"/>
      <c r="W265" s="25"/>
      <c r="X265" s="25"/>
      <c r="Y265" s="25"/>
    </row>
    <row r="266" ht="14.25" customHeight="1">
      <c r="V266" s="25"/>
      <c r="W266" s="25"/>
      <c r="X266" s="25"/>
      <c r="Y266" s="25"/>
    </row>
    <row r="267" ht="14.25" customHeight="1">
      <c r="V267" s="25"/>
      <c r="W267" s="25"/>
      <c r="X267" s="25"/>
      <c r="Y267" s="25"/>
    </row>
    <row r="268" ht="14.25" customHeight="1">
      <c r="V268" s="25"/>
      <c r="W268" s="25"/>
      <c r="X268" s="25"/>
      <c r="Y268" s="25"/>
    </row>
    <row r="269" ht="14.25" customHeight="1">
      <c r="V269" s="25"/>
      <c r="W269" s="25"/>
      <c r="X269" s="25"/>
      <c r="Y269" s="25"/>
    </row>
    <row r="270" ht="14.25" customHeight="1">
      <c r="V270" s="25"/>
      <c r="W270" s="25"/>
      <c r="X270" s="25"/>
      <c r="Y270" s="25"/>
    </row>
    <row r="271" ht="14.25" customHeight="1">
      <c r="V271" s="25"/>
      <c r="W271" s="25"/>
      <c r="X271" s="25"/>
      <c r="Y271" s="25"/>
    </row>
    <row r="272" ht="14.25" customHeight="1">
      <c r="V272" s="25"/>
      <c r="W272" s="25"/>
      <c r="X272" s="25"/>
      <c r="Y272" s="25"/>
    </row>
    <row r="273" ht="14.25" customHeight="1">
      <c r="V273" s="25"/>
      <c r="W273" s="25"/>
      <c r="X273" s="25"/>
      <c r="Y273" s="25"/>
    </row>
    <row r="274" ht="14.25" customHeight="1">
      <c r="V274" s="25"/>
      <c r="W274" s="25"/>
      <c r="X274" s="25"/>
      <c r="Y274" s="25"/>
    </row>
    <row r="275" ht="14.25" customHeight="1">
      <c r="V275" s="25"/>
      <c r="W275" s="25"/>
      <c r="X275" s="25"/>
      <c r="Y275" s="25"/>
    </row>
    <row r="276" ht="14.25" customHeight="1">
      <c r="V276" s="25"/>
      <c r="W276" s="25"/>
      <c r="X276" s="25"/>
      <c r="Y276" s="25"/>
    </row>
    <row r="277" ht="14.25" customHeight="1">
      <c r="V277" s="25"/>
      <c r="W277" s="25"/>
      <c r="X277" s="25"/>
      <c r="Y277" s="25"/>
    </row>
    <row r="278" ht="14.25" customHeight="1">
      <c r="V278" s="25"/>
      <c r="W278" s="25"/>
      <c r="X278" s="25"/>
      <c r="Y278" s="25"/>
    </row>
    <row r="279" ht="14.25" customHeight="1">
      <c r="V279" s="25"/>
      <c r="W279" s="25"/>
      <c r="X279" s="25"/>
      <c r="Y279" s="25"/>
    </row>
    <row r="280" ht="14.25" customHeight="1">
      <c r="V280" s="25"/>
      <c r="W280" s="25"/>
      <c r="X280" s="25"/>
      <c r="Y280" s="25"/>
    </row>
    <row r="281" ht="14.25" customHeight="1">
      <c r="V281" s="25"/>
      <c r="W281" s="25"/>
      <c r="X281" s="25"/>
      <c r="Y281" s="25"/>
    </row>
    <row r="282" ht="14.25" customHeight="1">
      <c r="V282" s="25"/>
      <c r="W282" s="25"/>
      <c r="X282" s="25"/>
      <c r="Y282" s="25"/>
    </row>
    <row r="283" ht="14.25" customHeight="1">
      <c r="V283" s="25"/>
      <c r="W283" s="25"/>
      <c r="X283" s="25"/>
      <c r="Y283" s="25"/>
    </row>
    <row r="284" ht="14.25" customHeight="1">
      <c r="V284" s="25"/>
      <c r="W284" s="25"/>
      <c r="X284" s="25"/>
      <c r="Y284" s="25"/>
    </row>
    <row r="285" ht="14.25" customHeight="1">
      <c r="V285" s="25"/>
      <c r="W285" s="25"/>
      <c r="X285" s="25"/>
      <c r="Y285" s="25"/>
    </row>
    <row r="286" ht="14.25" customHeight="1">
      <c r="V286" s="25"/>
      <c r="W286" s="25"/>
      <c r="X286" s="25"/>
      <c r="Y286" s="25"/>
    </row>
    <row r="287" ht="14.25" customHeight="1">
      <c r="V287" s="25"/>
      <c r="W287" s="25"/>
      <c r="X287" s="25"/>
      <c r="Y287" s="25"/>
    </row>
    <row r="288" ht="14.25" customHeight="1">
      <c r="V288" s="25"/>
      <c r="W288" s="25"/>
      <c r="X288" s="25"/>
      <c r="Y288" s="25"/>
    </row>
    <row r="289" ht="14.25" customHeight="1">
      <c r="V289" s="25"/>
      <c r="W289" s="25"/>
      <c r="X289" s="25"/>
      <c r="Y289" s="25"/>
    </row>
    <row r="290" ht="14.25" customHeight="1">
      <c r="V290" s="25"/>
      <c r="W290" s="25"/>
      <c r="X290" s="25"/>
      <c r="Y290" s="25"/>
    </row>
    <row r="291" ht="14.25" customHeight="1">
      <c r="V291" s="25"/>
      <c r="W291" s="25"/>
      <c r="X291" s="25"/>
      <c r="Y291" s="25"/>
    </row>
    <row r="292" ht="14.25" customHeight="1">
      <c r="V292" s="25"/>
      <c r="W292" s="25"/>
      <c r="X292" s="25"/>
      <c r="Y292" s="25"/>
    </row>
    <row r="293" ht="14.25" customHeight="1">
      <c r="V293" s="25"/>
      <c r="W293" s="25"/>
      <c r="X293" s="25"/>
      <c r="Y293" s="25"/>
    </row>
    <row r="294" ht="14.25" customHeight="1">
      <c r="V294" s="25"/>
      <c r="W294" s="25"/>
      <c r="X294" s="25"/>
      <c r="Y294" s="25"/>
    </row>
    <row r="295" ht="14.25" customHeight="1">
      <c r="V295" s="25"/>
      <c r="W295" s="25"/>
      <c r="X295" s="25"/>
      <c r="Y295" s="25"/>
    </row>
    <row r="296" ht="14.25" customHeight="1">
      <c r="V296" s="25"/>
      <c r="W296" s="25"/>
      <c r="X296" s="25"/>
      <c r="Y296" s="25"/>
    </row>
    <row r="297" ht="14.25" customHeight="1">
      <c r="V297" s="25"/>
      <c r="W297" s="25"/>
      <c r="X297" s="25"/>
      <c r="Y297" s="25"/>
    </row>
    <row r="298" ht="14.25" customHeight="1">
      <c r="V298" s="25"/>
      <c r="W298" s="25"/>
      <c r="X298" s="25"/>
      <c r="Y298" s="25"/>
    </row>
    <row r="299" ht="14.25" customHeight="1">
      <c r="V299" s="25"/>
      <c r="W299" s="25"/>
      <c r="X299" s="25"/>
      <c r="Y299" s="25"/>
    </row>
    <row r="300" ht="14.25" customHeight="1">
      <c r="V300" s="25"/>
      <c r="W300" s="25"/>
      <c r="X300" s="25"/>
      <c r="Y300" s="25"/>
    </row>
    <row r="301" ht="14.25" customHeight="1">
      <c r="V301" s="25"/>
      <c r="W301" s="25"/>
      <c r="X301" s="25"/>
      <c r="Y301" s="25"/>
    </row>
    <row r="302" ht="14.25" customHeight="1">
      <c r="V302" s="25"/>
      <c r="W302" s="25"/>
      <c r="X302" s="25"/>
      <c r="Y302" s="25"/>
    </row>
    <row r="303" ht="14.25" customHeight="1">
      <c r="V303" s="25"/>
      <c r="W303" s="25"/>
      <c r="X303" s="25"/>
      <c r="Y303" s="25"/>
    </row>
    <row r="304" ht="14.25" customHeight="1">
      <c r="V304" s="25"/>
      <c r="W304" s="25"/>
      <c r="X304" s="25"/>
      <c r="Y304" s="25"/>
    </row>
    <row r="305" ht="14.25" customHeight="1">
      <c r="V305" s="25"/>
      <c r="W305" s="25"/>
      <c r="X305" s="25"/>
      <c r="Y305" s="25"/>
    </row>
    <row r="306" ht="14.25" customHeight="1">
      <c r="V306" s="25"/>
      <c r="W306" s="25"/>
      <c r="X306" s="25"/>
      <c r="Y306" s="25"/>
    </row>
    <row r="307" ht="14.25" customHeight="1">
      <c r="V307" s="25"/>
      <c r="W307" s="25"/>
      <c r="X307" s="25"/>
      <c r="Y307" s="25"/>
    </row>
    <row r="308" ht="14.25" customHeight="1">
      <c r="V308" s="25"/>
      <c r="W308" s="25"/>
      <c r="X308" s="25"/>
      <c r="Y308" s="25"/>
    </row>
    <row r="309" ht="14.25" customHeight="1">
      <c r="V309" s="25"/>
      <c r="W309" s="25"/>
      <c r="X309" s="25"/>
      <c r="Y309" s="25"/>
    </row>
    <row r="310" ht="14.25" customHeight="1">
      <c r="V310" s="25"/>
      <c r="W310" s="25"/>
      <c r="X310" s="25"/>
      <c r="Y310" s="25"/>
    </row>
    <row r="311" ht="14.25" customHeight="1">
      <c r="V311" s="25"/>
      <c r="W311" s="25"/>
      <c r="X311" s="25"/>
      <c r="Y311" s="25"/>
    </row>
    <row r="312" ht="14.25" customHeight="1">
      <c r="V312" s="25"/>
      <c r="W312" s="25"/>
      <c r="X312" s="25"/>
      <c r="Y312" s="25"/>
    </row>
    <row r="313" ht="14.25" customHeight="1">
      <c r="V313" s="25"/>
      <c r="W313" s="25"/>
      <c r="X313" s="25"/>
      <c r="Y313" s="25"/>
    </row>
    <row r="314" ht="14.25" customHeight="1">
      <c r="V314" s="25"/>
      <c r="W314" s="25"/>
      <c r="X314" s="25"/>
      <c r="Y314" s="25"/>
    </row>
    <row r="315" ht="14.25" customHeight="1">
      <c r="V315" s="25"/>
      <c r="W315" s="25"/>
      <c r="X315" s="25"/>
      <c r="Y315" s="25"/>
    </row>
    <row r="316" ht="14.25" customHeight="1">
      <c r="V316" s="25"/>
      <c r="W316" s="25"/>
      <c r="X316" s="25"/>
      <c r="Y316" s="25"/>
    </row>
    <row r="317" ht="14.25" customHeight="1">
      <c r="V317" s="25"/>
      <c r="W317" s="25"/>
      <c r="X317" s="25"/>
      <c r="Y317" s="25"/>
    </row>
    <row r="318" ht="14.25" customHeight="1">
      <c r="V318" s="25"/>
      <c r="W318" s="25"/>
      <c r="X318" s="25"/>
      <c r="Y318" s="25"/>
    </row>
    <row r="319" ht="14.25" customHeight="1">
      <c r="V319" s="25"/>
      <c r="W319" s="25"/>
      <c r="X319" s="25"/>
      <c r="Y319" s="25"/>
    </row>
    <row r="320" ht="14.25" customHeight="1">
      <c r="V320" s="25"/>
      <c r="W320" s="25"/>
      <c r="X320" s="25"/>
      <c r="Y320" s="25"/>
    </row>
    <row r="321" ht="14.25" customHeight="1">
      <c r="V321" s="25"/>
      <c r="W321" s="25"/>
      <c r="X321" s="25"/>
      <c r="Y321" s="25"/>
    </row>
    <row r="322" ht="14.25" customHeight="1">
      <c r="V322" s="25"/>
      <c r="W322" s="25"/>
      <c r="X322" s="25"/>
      <c r="Y322" s="25"/>
    </row>
    <row r="323" ht="14.25" customHeight="1">
      <c r="V323" s="25"/>
      <c r="W323" s="25"/>
      <c r="X323" s="25"/>
      <c r="Y323" s="25"/>
    </row>
    <row r="324" ht="14.25" customHeight="1">
      <c r="V324" s="25"/>
      <c r="W324" s="25"/>
      <c r="X324" s="25"/>
      <c r="Y324" s="25"/>
    </row>
    <row r="325" ht="14.25" customHeight="1">
      <c r="V325" s="25"/>
      <c r="W325" s="25"/>
      <c r="X325" s="25"/>
      <c r="Y325" s="25"/>
    </row>
    <row r="326" ht="14.25" customHeight="1">
      <c r="V326" s="25"/>
      <c r="W326" s="25"/>
      <c r="X326" s="25"/>
      <c r="Y326" s="25"/>
    </row>
    <row r="327" ht="14.25" customHeight="1">
      <c r="V327" s="25"/>
      <c r="W327" s="25"/>
      <c r="X327" s="25"/>
      <c r="Y327" s="25"/>
    </row>
    <row r="328" ht="14.25" customHeight="1">
      <c r="V328" s="25"/>
      <c r="W328" s="25"/>
      <c r="X328" s="25"/>
      <c r="Y328" s="25"/>
    </row>
    <row r="329" ht="14.25" customHeight="1">
      <c r="V329" s="25"/>
      <c r="W329" s="25"/>
      <c r="X329" s="25"/>
      <c r="Y329" s="25"/>
    </row>
    <row r="330" ht="14.25" customHeight="1">
      <c r="V330" s="25"/>
      <c r="W330" s="25"/>
      <c r="X330" s="25"/>
      <c r="Y330" s="25"/>
    </row>
    <row r="331" ht="14.25" customHeight="1">
      <c r="V331" s="25"/>
      <c r="W331" s="25"/>
      <c r="X331" s="25"/>
      <c r="Y331" s="25"/>
    </row>
    <row r="332" ht="14.25" customHeight="1">
      <c r="V332" s="25"/>
      <c r="W332" s="25"/>
      <c r="X332" s="25"/>
      <c r="Y332" s="25"/>
    </row>
    <row r="333" ht="14.25" customHeight="1">
      <c r="V333" s="25"/>
      <c r="W333" s="25"/>
      <c r="X333" s="25"/>
      <c r="Y333" s="25"/>
    </row>
    <row r="334" ht="14.25" customHeight="1">
      <c r="V334" s="25"/>
      <c r="W334" s="25"/>
      <c r="X334" s="25"/>
      <c r="Y334" s="25"/>
    </row>
    <row r="335" ht="14.25" customHeight="1">
      <c r="V335" s="25"/>
      <c r="W335" s="25"/>
      <c r="X335" s="25"/>
      <c r="Y335" s="25"/>
    </row>
    <row r="336" ht="14.25" customHeight="1">
      <c r="V336" s="25"/>
      <c r="W336" s="25"/>
      <c r="X336" s="25"/>
      <c r="Y336" s="25"/>
    </row>
    <row r="337" ht="14.25" customHeight="1">
      <c r="V337" s="25"/>
      <c r="W337" s="25"/>
      <c r="X337" s="25"/>
      <c r="Y337" s="25"/>
    </row>
    <row r="338" ht="14.25" customHeight="1">
      <c r="V338" s="25"/>
      <c r="W338" s="25"/>
      <c r="X338" s="25"/>
      <c r="Y338" s="25"/>
    </row>
    <row r="339" ht="14.25" customHeight="1">
      <c r="V339" s="25"/>
      <c r="W339" s="25"/>
      <c r="X339" s="25"/>
      <c r="Y339" s="25"/>
    </row>
    <row r="340" ht="14.25" customHeight="1">
      <c r="V340" s="25"/>
      <c r="W340" s="25"/>
      <c r="X340" s="25"/>
      <c r="Y340" s="25"/>
    </row>
    <row r="341" ht="14.25" customHeight="1">
      <c r="V341" s="25"/>
      <c r="W341" s="25"/>
      <c r="X341" s="25"/>
      <c r="Y341" s="25"/>
    </row>
    <row r="342" ht="14.25" customHeight="1">
      <c r="V342" s="25"/>
      <c r="W342" s="25"/>
      <c r="X342" s="25"/>
      <c r="Y342" s="25"/>
    </row>
    <row r="343" ht="14.25" customHeight="1">
      <c r="V343" s="25"/>
      <c r="W343" s="25"/>
      <c r="X343" s="25"/>
      <c r="Y343" s="25"/>
    </row>
    <row r="344" ht="14.25" customHeight="1">
      <c r="V344" s="25"/>
      <c r="W344" s="25"/>
      <c r="X344" s="25"/>
      <c r="Y344" s="25"/>
    </row>
    <row r="345" ht="14.25" customHeight="1">
      <c r="V345" s="25"/>
      <c r="W345" s="25"/>
      <c r="X345" s="25"/>
      <c r="Y345" s="25"/>
    </row>
    <row r="346" ht="14.25" customHeight="1">
      <c r="V346" s="25"/>
      <c r="W346" s="25"/>
      <c r="X346" s="25"/>
      <c r="Y346" s="25"/>
    </row>
    <row r="347" ht="14.25" customHeight="1">
      <c r="V347" s="25"/>
      <c r="W347" s="25"/>
      <c r="X347" s="25"/>
      <c r="Y347" s="25"/>
    </row>
    <row r="348" ht="14.25" customHeight="1">
      <c r="V348" s="25"/>
      <c r="W348" s="25"/>
      <c r="X348" s="25"/>
      <c r="Y348" s="25"/>
    </row>
    <row r="349" ht="14.25" customHeight="1">
      <c r="V349" s="25"/>
      <c r="W349" s="25"/>
      <c r="X349" s="25"/>
      <c r="Y349" s="25"/>
    </row>
    <row r="350" ht="14.25" customHeight="1">
      <c r="V350" s="25"/>
      <c r="W350" s="25"/>
      <c r="X350" s="25"/>
      <c r="Y350" s="25"/>
    </row>
    <row r="351" ht="14.25" customHeight="1">
      <c r="V351" s="25"/>
      <c r="W351" s="25"/>
      <c r="X351" s="25"/>
      <c r="Y351" s="25"/>
    </row>
    <row r="352" ht="14.25" customHeight="1">
      <c r="V352" s="25"/>
      <c r="W352" s="25"/>
      <c r="X352" s="25"/>
      <c r="Y352" s="25"/>
    </row>
    <row r="353" ht="14.25" customHeight="1">
      <c r="V353" s="25"/>
      <c r="W353" s="25"/>
      <c r="X353" s="25"/>
      <c r="Y353" s="25"/>
    </row>
    <row r="354" ht="14.25" customHeight="1">
      <c r="V354" s="25"/>
      <c r="W354" s="25"/>
      <c r="X354" s="25"/>
      <c r="Y354" s="25"/>
    </row>
    <row r="355" ht="14.25" customHeight="1">
      <c r="V355" s="25"/>
      <c r="W355" s="25"/>
      <c r="X355" s="25"/>
      <c r="Y355" s="25"/>
    </row>
    <row r="356" ht="14.25" customHeight="1">
      <c r="V356" s="25"/>
      <c r="W356" s="25"/>
      <c r="X356" s="25"/>
      <c r="Y356" s="25"/>
    </row>
    <row r="357" ht="14.25" customHeight="1">
      <c r="V357" s="25"/>
      <c r="W357" s="25"/>
      <c r="X357" s="25"/>
      <c r="Y357" s="25"/>
    </row>
    <row r="358" ht="14.25" customHeight="1">
      <c r="V358" s="25"/>
      <c r="W358" s="25"/>
      <c r="X358" s="25"/>
      <c r="Y358" s="25"/>
    </row>
    <row r="359" ht="14.25" customHeight="1">
      <c r="V359" s="25"/>
      <c r="W359" s="25"/>
      <c r="X359" s="25"/>
      <c r="Y359" s="25"/>
    </row>
    <row r="360" ht="14.25" customHeight="1">
      <c r="V360" s="25"/>
      <c r="W360" s="25"/>
      <c r="X360" s="25"/>
      <c r="Y360" s="25"/>
    </row>
    <row r="361" ht="14.25" customHeight="1">
      <c r="V361" s="25"/>
      <c r="W361" s="25"/>
      <c r="X361" s="25"/>
      <c r="Y361" s="25"/>
    </row>
    <row r="362" ht="14.25" customHeight="1">
      <c r="V362" s="25"/>
      <c r="W362" s="25"/>
      <c r="X362" s="25"/>
      <c r="Y362" s="25"/>
    </row>
    <row r="363" ht="14.25" customHeight="1">
      <c r="V363" s="25"/>
      <c r="W363" s="25"/>
      <c r="X363" s="25"/>
      <c r="Y363" s="25"/>
    </row>
    <row r="364" ht="14.25" customHeight="1">
      <c r="V364" s="25"/>
      <c r="W364" s="25"/>
      <c r="X364" s="25"/>
      <c r="Y364" s="25"/>
    </row>
    <row r="365" ht="14.25" customHeight="1">
      <c r="V365" s="25"/>
      <c r="W365" s="25"/>
      <c r="X365" s="25"/>
      <c r="Y365" s="25"/>
    </row>
    <row r="366" ht="14.25" customHeight="1">
      <c r="V366" s="25"/>
      <c r="W366" s="25"/>
      <c r="X366" s="25"/>
      <c r="Y366" s="25"/>
    </row>
    <row r="367" ht="14.25" customHeight="1">
      <c r="V367" s="25"/>
      <c r="W367" s="25"/>
      <c r="X367" s="25"/>
      <c r="Y367" s="25"/>
    </row>
    <row r="368" ht="14.25" customHeight="1">
      <c r="V368" s="25"/>
      <c r="W368" s="25"/>
      <c r="X368" s="25"/>
      <c r="Y368" s="25"/>
    </row>
    <row r="369" ht="14.25" customHeight="1">
      <c r="V369" s="25"/>
      <c r="W369" s="25"/>
      <c r="X369" s="25"/>
      <c r="Y369" s="25"/>
    </row>
    <row r="370" ht="14.25" customHeight="1">
      <c r="V370" s="25"/>
      <c r="W370" s="25"/>
      <c r="X370" s="25"/>
      <c r="Y370" s="25"/>
    </row>
    <row r="371" ht="14.25" customHeight="1">
      <c r="V371" s="25"/>
      <c r="W371" s="25"/>
      <c r="X371" s="25"/>
      <c r="Y371" s="25"/>
    </row>
    <row r="372" ht="14.25" customHeight="1">
      <c r="V372" s="25"/>
      <c r="W372" s="25"/>
      <c r="X372" s="25"/>
      <c r="Y372" s="25"/>
    </row>
    <row r="373" ht="14.25" customHeight="1">
      <c r="V373" s="25"/>
      <c r="W373" s="25"/>
      <c r="X373" s="25"/>
      <c r="Y373" s="25"/>
    </row>
    <row r="374" ht="14.25" customHeight="1">
      <c r="V374" s="25"/>
      <c r="W374" s="25"/>
      <c r="X374" s="25"/>
      <c r="Y374" s="25"/>
    </row>
    <row r="375" ht="14.25" customHeight="1">
      <c r="V375" s="25"/>
      <c r="W375" s="25"/>
      <c r="X375" s="25"/>
      <c r="Y375" s="25"/>
    </row>
    <row r="376" ht="14.25" customHeight="1">
      <c r="V376" s="25"/>
      <c r="W376" s="25"/>
      <c r="X376" s="25"/>
      <c r="Y376" s="25"/>
    </row>
    <row r="377" ht="14.25" customHeight="1">
      <c r="V377" s="25"/>
      <c r="W377" s="25"/>
      <c r="X377" s="25"/>
      <c r="Y377" s="25"/>
    </row>
    <row r="378" ht="14.25" customHeight="1">
      <c r="V378" s="25"/>
      <c r="W378" s="25"/>
      <c r="X378" s="25"/>
      <c r="Y378" s="25"/>
    </row>
    <row r="379" ht="14.25" customHeight="1">
      <c r="V379" s="25"/>
      <c r="W379" s="25"/>
      <c r="X379" s="25"/>
      <c r="Y379" s="25"/>
    </row>
    <row r="380" ht="14.25" customHeight="1">
      <c r="V380" s="25"/>
      <c r="W380" s="25"/>
      <c r="X380" s="25"/>
      <c r="Y380" s="25"/>
    </row>
    <row r="381" ht="14.25" customHeight="1">
      <c r="V381" s="25"/>
      <c r="W381" s="25"/>
      <c r="X381" s="25"/>
      <c r="Y381" s="25"/>
    </row>
    <row r="382" ht="14.25" customHeight="1">
      <c r="V382" s="25"/>
      <c r="W382" s="25"/>
      <c r="X382" s="25"/>
      <c r="Y382" s="25"/>
    </row>
    <row r="383" ht="14.25" customHeight="1">
      <c r="V383" s="25"/>
      <c r="W383" s="25"/>
      <c r="X383" s="25"/>
      <c r="Y383" s="25"/>
    </row>
    <row r="384" ht="14.25" customHeight="1">
      <c r="V384" s="25"/>
      <c r="W384" s="25"/>
      <c r="X384" s="25"/>
      <c r="Y384" s="25"/>
    </row>
    <row r="385" ht="14.25" customHeight="1">
      <c r="V385" s="25"/>
      <c r="W385" s="25"/>
      <c r="X385" s="25"/>
      <c r="Y385" s="25"/>
    </row>
    <row r="386" ht="14.25" customHeight="1">
      <c r="V386" s="25"/>
      <c r="W386" s="25"/>
      <c r="X386" s="25"/>
      <c r="Y386" s="25"/>
    </row>
    <row r="387" ht="14.25" customHeight="1">
      <c r="V387" s="25"/>
      <c r="W387" s="25"/>
      <c r="X387" s="25"/>
      <c r="Y387" s="25"/>
    </row>
    <row r="388" ht="14.25" customHeight="1">
      <c r="V388" s="25"/>
      <c r="W388" s="25"/>
      <c r="X388" s="25"/>
      <c r="Y388" s="25"/>
    </row>
    <row r="389" ht="14.25" customHeight="1">
      <c r="V389" s="25"/>
      <c r="W389" s="25"/>
      <c r="X389" s="25"/>
      <c r="Y389" s="25"/>
    </row>
    <row r="390" ht="14.25" customHeight="1">
      <c r="V390" s="25"/>
      <c r="W390" s="25"/>
      <c r="X390" s="25"/>
      <c r="Y390" s="25"/>
    </row>
    <row r="391" ht="14.25" customHeight="1">
      <c r="V391" s="25"/>
      <c r="W391" s="25"/>
      <c r="X391" s="25"/>
      <c r="Y391" s="25"/>
    </row>
    <row r="392" ht="14.25" customHeight="1">
      <c r="V392" s="25"/>
      <c r="W392" s="25"/>
      <c r="X392" s="25"/>
      <c r="Y392" s="25"/>
    </row>
    <row r="393" ht="14.25" customHeight="1">
      <c r="V393" s="25"/>
      <c r="W393" s="25"/>
      <c r="X393" s="25"/>
      <c r="Y393" s="25"/>
    </row>
    <row r="394" ht="14.25" customHeight="1">
      <c r="V394" s="25"/>
      <c r="W394" s="25"/>
      <c r="X394" s="25"/>
      <c r="Y394" s="25"/>
    </row>
    <row r="395" ht="14.25" customHeight="1">
      <c r="V395" s="25"/>
      <c r="W395" s="25"/>
      <c r="X395" s="25"/>
      <c r="Y395" s="25"/>
    </row>
    <row r="396" ht="14.25" customHeight="1">
      <c r="V396" s="25"/>
      <c r="W396" s="25"/>
      <c r="X396" s="25"/>
      <c r="Y396" s="25"/>
    </row>
    <row r="397" ht="14.25" customHeight="1">
      <c r="V397" s="25"/>
      <c r="W397" s="25"/>
      <c r="X397" s="25"/>
      <c r="Y397" s="25"/>
    </row>
    <row r="398" ht="14.25" customHeight="1">
      <c r="V398" s="25"/>
      <c r="W398" s="25"/>
      <c r="X398" s="25"/>
      <c r="Y398" s="25"/>
    </row>
    <row r="399" ht="14.25" customHeight="1">
      <c r="V399" s="25"/>
      <c r="W399" s="25"/>
      <c r="X399" s="25"/>
      <c r="Y399" s="25"/>
    </row>
    <row r="400" ht="14.25" customHeight="1">
      <c r="V400" s="25"/>
      <c r="W400" s="25"/>
      <c r="X400" s="25"/>
      <c r="Y400" s="25"/>
    </row>
    <row r="401" ht="14.25" customHeight="1">
      <c r="V401" s="25"/>
      <c r="W401" s="25"/>
      <c r="X401" s="25"/>
      <c r="Y401" s="25"/>
    </row>
    <row r="402" ht="14.25" customHeight="1">
      <c r="V402" s="25"/>
      <c r="W402" s="25"/>
      <c r="X402" s="25"/>
      <c r="Y402" s="25"/>
    </row>
    <row r="403" ht="14.25" customHeight="1">
      <c r="V403" s="25"/>
      <c r="W403" s="25"/>
      <c r="X403" s="25"/>
      <c r="Y403" s="25"/>
    </row>
    <row r="404" ht="14.25" customHeight="1">
      <c r="V404" s="25"/>
      <c r="W404" s="25"/>
      <c r="X404" s="25"/>
      <c r="Y404" s="25"/>
    </row>
    <row r="405" ht="14.25" customHeight="1">
      <c r="V405" s="25"/>
      <c r="W405" s="25"/>
      <c r="X405" s="25"/>
      <c r="Y405" s="25"/>
    </row>
    <row r="406" ht="14.25" customHeight="1">
      <c r="V406" s="25"/>
      <c r="W406" s="25"/>
      <c r="X406" s="25"/>
      <c r="Y406" s="25"/>
    </row>
    <row r="407" ht="14.25" customHeight="1">
      <c r="V407" s="25"/>
      <c r="W407" s="25"/>
      <c r="X407" s="25"/>
      <c r="Y407" s="25"/>
    </row>
    <row r="408" ht="14.25" customHeight="1">
      <c r="V408" s="25"/>
      <c r="W408" s="25"/>
      <c r="X408" s="25"/>
      <c r="Y408" s="25"/>
    </row>
    <row r="409" ht="14.25" customHeight="1">
      <c r="V409" s="25"/>
      <c r="W409" s="25"/>
      <c r="X409" s="25"/>
      <c r="Y409" s="25"/>
    </row>
    <row r="410" ht="14.25" customHeight="1">
      <c r="V410" s="25"/>
      <c r="W410" s="25"/>
      <c r="X410" s="25"/>
      <c r="Y410" s="25"/>
    </row>
    <row r="411" ht="14.25" customHeight="1">
      <c r="V411" s="25"/>
      <c r="W411" s="25"/>
      <c r="X411" s="25"/>
      <c r="Y411" s="25"/>
    </row>
    <row r="412" ht="14.25" customHeight="1">
      <c r="V412" s="25"/>
      <c r="W412" s="25"/>
      <c r="X412" s="25"/>
      <c r="Y412" s="25"/>
    </row>
    <row r="413" ht="14.25" customHeight="1">
      <c r="V413" s="25"/>
      <c r="W413" s="25"/>
      <c r="X413" s="25"/>
      <c r="Y413" s="25"/>
    </row>
    <row r="414" ht="14.25" customHeight="1">
      <c r="V414" s="25"/>
      <c r="W414" s="25"/>
      <c r="X414" s="25"/>
      <c r="Y414" s="25"/>
    </row>
    <row r="415" ht="14.25" customHeight="1">
      <c r="V415" s="25"/>
      <c r="W415" s="25"/>
      <c r="X415" s="25"/>
      <c r="Y415" s="25"/>
    </row>
    <row r="416" ht="14.25" customHeight="1">
      <c r="V416" s="25"/>
      <c r="W416" s="25"/>
      <c r="X416" s="25"/>
      <c r="Y416" s="25"/>
    </row>
    <row r="417" ht="14.25" customHeight="1">
      <c r="V417" s="25"/>
      <c r="W417" s="25"/>
      <c r="X417" s="25"/>
      <c r="Y417" s="25"/>
    </row>
    <row r="418" ht="14.25" customHeight="1">
      <c r="V418" s="25"/>
      <c r="W418" s="25"/>
      <c r="X418" s="25"/>
      <c r="Y418" s="25"/>
    </row>
    <row r="419" ht="14.25" customHeight="1">
      <c r="V419" s="25"/>
      <c r="W419" s="25"/>
      <c r="X419" s="25"/>
      <c r="Y419" s="25"/>
    </row>
    <row r="420" ht="14.25" customHeight="1">
      <c r="V420" s="25"/>
      <c r="W420" s="25"/>
      <c r="X420" s="25"/>
      <c r="Y420" s="25"/>
    </row>
    <row r="421" ht="14.25" customHeight="1">
      <c r="V421" s="25"/>
      <c r="W421" s="25"/>
      <c r="X421" s="25"/>
      <c r="Y421" s="25"/>
    </row>
    <row r="422" ht="14.25" customHeight="1">
      <c r="V422" s="25"/>
      <c r="W422" s="25"/>
      <c r="X422" s="25"/>
      <c r="Y422" s="25"/>
    </row>
    <row r="423" ht="14.25" customHeight="1">
      <c r="V423" s="25"/>
      <c r="W423" s="25"/>
      <c r="X423" s="25"/>
      <c r="Y423" s="25"/>
    </row>
    <row r="424" ht="14.25" customHeight="1">
      <c r="V424" s="25"/>
      <c r="W424" s="25"/>
      <c r="X424" s="25"/>
      <c r="Y424" s="25"/>
    </row>
    <row r="425" ht="14.25" customHeight="1">
      <c r="V425" s="25"/>
      <c r="W425" s="25"/>
      <c r="X425" s="25"/>
      <c r="Y425" s="25"/>
    </row>
    <row r="426" ht="14.25" customHeight="1">
      <c r="V426" s="25"/>
      <c r="W426" s="25"/>
      <c r="X426" s="25"/>
      <c r="Y426" s="25"/>
    </row>
    <row r="427" ht="14.25" customHeight="1">
      <c r="V427" s="25"/>
      <c r="W427" s="25"/>
      <c r="X427" s="25"/>
      <c r="Y427" s="25"/>
    </row>
    <row r="428" ht="14.25" customHeight="1">
      <c r="V428" s="25"/>
      <c r="W428" s="25"/>
      <c r="X428" s="25"/>
      <c r="Y428" s="25"/>
    </row>
    <row r="429" ht="14.25" customHeight="1">
      <c r="V429" s="25"/>
      <c r="W429" s="25"/>
      <c r="X429" s="25"/>
      <c r="Y429" s="25"/>
    </row>
    <row r="430" ht="14.25" customHeight="1">
      <c r="V430" s="25"/>
      <c r="W430" s="25"/>
      <c r="X430" s="25"/>
      <c r="Y430" s="25"/>
    </row>
    <row r="431" ht="14.25" customHeight="1">
      <c r="V431" s="25"/>
      <c r="W431" s="25"/>
      <c r="X431" s="25"/>
      <c r="Y431" s="25"/>
    </row>
    <row r="432" ht="14.25" customHeight="1">
      <c r="V432" s="25"/>
      <c r="W432" s="25"/>
      <c r="X432" s="25"/>
      <c r="Y432" s="25"/>
    </row>
    <row r="433" ht="14.25" customHeight="1">
      <c r="V433" s="25"/>
      <c r="W433" s="25"/>
      <c r="X433" s="25"/>
      <c r="Y433" s="25"/>
    </row>
    <row r="434" ht="14.25" customHeight="1">
      <c r="V434" s="25"/>
      <c r="W434" s="25"/>
      <c r="X434" s="25"/>
      <c r="Y434" s="25"/>
    </row>
    <row r="435" ht="14.25" customHeight="1">
      <c r="V435" s="25"/>
      <c r="W435" s="25"/>
      <c r="X435" s="25"/>
      <c r="Y435" s="25"/>
    </row>
    <row r="436" ht="14.25" customHeight="1">
      <c r="V436" s="25"/>
      <c r="W436" s="25"/>
      <c r="X436" s="25"/>
      <c r="Y436" s="25"/>
    </row>
    <row r="437" ht="14.25" customHeight="1">
      <c r="V437" s="25"/>
      <c r="W437" s="25"/>
      <c r="X437" s="25"/>
      <c r="Y437" s="25"/>
    </row>
    <row r="438" ht="14.25" customHeight="1">
      <c r="V438" s="25"/>
      <c r="W438" s="25"/>
      <c r="X438" s="25"/>
      <c r="Y438" s="25"/>
    </row>
    <row r="439" ht="14.25" customHeight="1">
      <c r="V439" s="25"/>
      <c r="W439" s="25"/>
      <c r="X439" s="25"/>
      <c r="Y439" s="25"/>
    </row>
    <row r="440" ht="14.25" customHeight="1">
      <c r="V440" s="25"/>
      <c r="W440" s="25"/>
      <c r="X440" s="25"/>
      <c r="Y440" s="25"/>
    </row>
    <row r="441" ht="14.25" customHeight="1">
      <c r="V441" s="25"/>
      <c r="W441" s="25"/>
      <c r="X441" s="25"/>
      <c r="Y441" s="25"/>
    </row>
    <row r="442" ht="14.25" customHeight="1">
      <c r="V442" s="25"/>
      <c r="W442" s="25"/>
      <c r="X442" s="25"/>
      <c r="Y442" s="25"/>
    </row>
    <row r="443" ht="14.25" customHeight="1">
      <c r="V443" s="25"/>
      <c r="W443" s="25"/>
      <c r="X443" s="25"/>
      <c r="Y443" s="25"/>
    </row>
    <row r="444" ht="14.25" customHeight="1">
      <c r="V444" s="25"/>
      <c r="W444" s="25"/>
      <c r="X444" s="25"/>
      <c r="Y444" s="25"/>
    </row>
    <row r="445" ht="14.25" customHeight="1">
      <c r="V445" s="25"/>
      <c r="W445" s="25"/>
      <c r="X445" s="25"/>
      <c r="Y445" s="25"/>
    </row>
    <row r="446" ht="14.25" customHeight="1">
      <c r="V446" s="25"/>
      <c r="W446" s="25"/>
      <c r="X446" s="25"/>
      <c r="Y446" s="25"/>
    </row>
    <row r="447" ht="14.25" customHeight="1">
      <c r="V447" s="25"/>
      <c r="W447" s="25"/>
      <c r="X447" s="25"/>
      <c r="Y447" s="25"/>
    </row>
    <row r="448" ht="14.25" customHeight="1">
      <c r="V448" s="25"/>
      <c r="W448" s="25"/>
      <c r="X448" s="25"/>
      <c r="Y448" s="25"/>
    </row>
    <row r="449" ht="14.25" customHeight="1">
      <c r="V449" s="25"/>
      <c r="W449" s="25"/>
      <c r="X449" s="25"/>
      <c r="Y449" s="25"/>
    </row>
    <row r="450" ht="14.25" customHeight="1">
      <c r="V450" s="25"/>
      <c r="W450" s="25"/>
      <c r="X450" s="25"/>
      <c r="Y450" s="25"/>
    </row>
    <row r="451" ht="14.25" customHeight="1">
      <c r="V451" s="25"/>
      <c r="W451" s="25"/>
      <c r="X451" s="25"/>
      <c r="Y451" s="25"/>
    </row>
    <row r="452" ht="14.25" customHeight="1">
      <c r="V452" s="25"/>
      <c r="W452" s="25"/>
      <c r="X452" s="25"/>
      <c r="Y452" s="25"/>
    </row>
    <row r="453" ht="14.25" customHeight="1">
      <c r="V453" s="25"/>
      <c r="W453" s="25"/>
      <c r="X453" s="25"/>
      <c r="Y453" s="25"/>
    </row>
    <row r="454" ht="14.25" customHeight="1">
      <c r="V454" s="25"/>
      <c r="W454" s="25"/>
      <c r="X454" s="25"/>
      <c r="Y454" s="25"/>
    </row>
    <row r="455" ht="14.25" customHeight="1">
      <c r="V455" s="25"/>
      <c r="W455" s="25"/>
      <c r="X455" s="25"/>
      <c r="Y455" s="25"/>
    </row>
    <row r="456" ht="14.25" customHeight="1">
      <c r="V456" s="25"/>
      <c r="W456" s="25"/>
      <c r="X456" s="25"/>
      <c r="Y456" s="25"/>
    </row>
    <row r="457" ht="14.25" customHeight="1">
      <c r="V457" s="25"/>
      <c r="W457" s="25"/>
      <c r="X457" s="25"/>
      <c r="Y457" s="25"/>
    </row>
    <row r="458" ht="14.25" customHeight="1">
      <c r="V458" s="25"/>
      <c r="W458" s="25"/>
      <c r="X458" s="25"/>
      <c r="Y458" s="25"/>
    </row>
    <row r="459" ht="14.25" customHeight="1">
      <c r="V459" s="25"/>
      <c r="W459" s="25"/>
      <c r="X459" s="25"/>
      <c r="Y459" s="25"/>
    </row>
    <row r="460" ht="14.25" customHeight="1">
      <c r="V460" s="25"/>
      <c r="W460" s="25"/>
      <c r="X460" s="25"/>
      <c r="Y460" s="25"/>
    </row>
    <row r="461" ht="14.25" customHeight="1">
      <c r="V461" s="25"/>
      <c r="W461" s="25"/>
      <c r="X461" s="25"/>
      <c r="Y461" s="25"/>
    </row>
    <row r="462" ht="14.25" customHeight="1">
      <c r="V462" s="25"/>
      <c r="W462" s="25"/>
      <c r="X462" s="25"/>
      <c r="Y462" s="25"/>
    </row>
    <row r="463" ht="14.25" customHeight="1">
      <c r="V463" s="25"/>
      <c r="W463" s="25"/>
      <c r="X463" s="25"/>
      <c r="Y463" s="25"/>
    </row>
    <row r="464" ht="14.25" customHeight="1">
      <c r="V464" s="25"/>
      <c r="W464" s="25"/>
      <c r="X464" s="25"/>
      <c r="Y464" s="25"/>
    </row>
    <row r="465" ht="14.25" customHeight="1">
      <c r="V465" s="25"/>
      <c r="W465" s="25"/>
      <c r="X465" s="25"/>
      <c r="Y465" s="25"/>
    </row>
    <row r="466" ht="14.25" customHeight="1">
      <c r="V466" s="25"/>
      <c r="W466" s="25"/>
      <c r="X466" s="25"/>
      <c r="Y466" s="25"/>
    </row>
    <row r="467" ht="14.25" customHeight="1">
      <c r="V467" s="25"/>
      <c r="W467" s="25"/>
      <c r="X467" s="25"/>
      <c r="Y467" s="25"/>
    </row>
    <row r="468" ht="14.25" customHeight="1">
      <c r="V468" s="25"/>
      <c r="W468" s="25"/>
      <c r="X468" s="25"/>
      <c r="Y468" s="25"/>
    </row>
    <row r="469" ht="14.25" customHeight="1">
      <c r="V469" s="25"/>
      <c r="W469" s="25"/>
      <c r="X469" s="25"/>
      <c r="Y469" s="25"/>
    </row>
    <row r="470" ht="14.25" customHeight="1">
      <c r="V470" s="25"/>
      <c r="W470" s="25"/>
      <c r="X470" s="25"/>
      <c r="Y470" s="25"/>
    </row>
    <row r="471" ht="14.25" customHeight="1">
      <c r="V471" s="25"/>
      <c r="W471" s="25"/>
      <c r="X471" s="25"/>
      <c r="Y471" s="25"/>
    </row>
    <row r="472" ht="14.25" customHeight="1">
      <c r="V472" s="25"/>
      <c r="W472" s="25"/>
      <c r="X472" s="25"/>
      <c r="Y472" s="25"/>
    </row>
    <row r="473" ht="14.25" customHeight="1">
      <c r="V473" s="25"/>
      <c r="W473" s="25"/>
      <c r="X473" s="25"/>
      <c r="Y473" s="25"/>
    </row>
    <row r="474" ht="14.25" customHeight="1">
      <c r="V474" s="25"/>
      <c r="W474" s="25"/>
      <c r="X474" s="25"/>
      <c r="Y474" s="25"/>
    </row>
    <row r="475" ht="14.25" customHeight="1">
      <c r="V475" s="25"/>
      <c r="W475" s="25"/>
      <c r="X475" s="25"/>
      <c r="Y475" s="25"/>
    </row>
    <row r="476" ht="14.25" customHeight="1">
      <c r="V476" s="25"/>
      <c r="W476" s="25"/>
      <c r="X476" s="25"/>
      <c r="Y476" s="25"/>
    </row>
    <row r="477" ht="14.25" customHeight="1">
      <c r="V477" s="25"/>
      <c r="W477" s="25"/>
      <c r="X477" s="25"/>
      <c r="Y477" s="25"/>
    </row>
    <row r="478" ht="14.25" customHeight="1">
      <c r="V478" s="25"/>
      <c r="W478" s="25"/>
      <c r="X478" s="25"/>
      <c r="Y478" s="25"/>
    </row>
    <row r="479" ht="14.25" customHeight="1">
      <c r="V479" s="25"/>
      <c r="W479" s="25"/>
      <c r="X479" s="25"/>
      <c r="Y479" s="25"/>
    </row>
    <row r="480" ht="14.25" customHeight="1">
      <c r="V480" s="25"/>
      <c r="W480" s="25"/>
      <c r="X480" s="25"/>
      <c r="Y480" s="25"/>
    </row>
    <row r="481" ht="14.25" customHeight="1">
      <c r="V481" s="25"/>
      <c r="W481" s="25"/>
      <c r="X481" s="25"/>
      <c r="Y481" s="25"/>
    </row>
    <row r="482" ht="14.25" customHeight="1">
      <c r="V482" s="25"/>
      <c r="W482" s="25"/>
      <c r="X482" s="25"/>
      <c r="Y482" s="25"/>
    </row>
    <row r="483" ht="14.25" customHeight="1">
      <c r="V483" s="25"/>
      <c r="W483" s="25"/>
      <c r="X483" s="25"/>
      <c r="Y483" s="25"/>
    </row>
    <row r="484" ht="14.25" customHeight="1">
      <c r="V484" s="25"/>
      <c r="W484" s="25"/>
      <c r="X484" s="25"/>
      <c r="Y484" s="25"/>
    </row>
    <row r="485" ht="14.25" customHeight="1">
      <c r="V485" s="25"/>
      <c r="W485" s="25"/>
      <c r="X485" s="25"/>
      <c r="Y485" s="25"/>
    </row>
    <row r="486" ht="14.25" customHeight="1">
      <c r="V486" s="25"/>
      <c r="W486" s="25"/>
      <c r="X486" s="25"/>
      <c r="Y486" s="25"/>
    </row>
    <row r="487" ht="14.25" customHeight="1">
      <c r="V487" s="25"/>
      <c r="W487" s="25"/>
      <c r="X487" s="25"/>
      <c r="Y487" s="25"/>
    </row>
    <row r="488" ht="14.25" customHeight="1">
      <c r="V488" s="25"/>
      <c r="W488" s="25"/>
      <c r="X488" s="25"/>
      <c r="Y488" s="25"/>
    </row>
    <row r="489" ht="14.25" customHeight="1">
      <c r="V489" s="25"/>
      <c r="W489" s="25"/>
      <c r="X489" s="25"/>
      <c r="Y489" s="25"/>
    </row>
    <row r="490" ht="14.25" customHeight="1">
      <c r="V490" s="25"/>
      <c r="W490" s="25"/>
      <c r="X490" s="25"/>
      <c r="Y490" s="25"/>
    </row>
    <row r="491" ht="14.25" customHeight="1">
      <c r="V491" s="25"/>
      <c r="W491" s="25"/>
      <c r="X491" s="25"/>
      <c r="Y491" s="25"/>
    </row>
    <row r="492" ht="14.25" customHeight="1">
      <c r="V492" s="25"/>
      <c r="W492" s="25"/>
      <c r="X492" s="25"/>
      <c r="Y492" s="25"/>
    </row>
    <row r="493" ht="14.25" customHeight="1">
      <c r="V493" s="25"/>
      <c r="W493" s="25"/>
      <c r="X493" s="25"/>
      <c r="Y493" s="25"/>
    </row>
    <row r="494" ht="14.25" customHeight="1">
      <c r="V494" s="25"/>
      <c r="W494" s="25"/>
      <c r="X494" s="25"/>
      <c r="Y494" s="25"/>
    </row>
    <row r="495" ht="14.25" customHeight="1">
      <c r="V495" s="25"/>
      <c r="W495" s="25"/>
      <c r="X495" s="25"/>
      <c r="Y495" s="25"/>
    </row>
    <row r="496" ht="14.25" customHeight="1">
      <c r="V496" s="25"/>
      <c r="W496" s="25"/>
      <c r="X496" s="25"/>
      <c r="Y496" s="25"/>
    </row>
    <row r="497" ht="14.25" customHeight="1">
      <c r="V497" s="25"/>
      <c r="W497" s="25"/>
      <c r="X497" s="25"/>
      <c r="Y497" s="25"/>
    </row>
    <row r="498" ht="14.25" customHeight="1">
      <c r="V498" s="25"/>
      <c r="W498" s="25"/>
      <c r="X498" s="25"/>
      <c r="Y498" s="25"/>
    </row>
    <row r="499" ht="14.25" customHeight="1">
      <c r="V499" s="25"/>
      <c r="W499" s="25"/>
      <c r="X499" s="25"/>
      <c r="Y499" s="25"/>
    </row>
    <row r="500" ht="14.25" customHeight="1">
      <c r="V500" s="25"/>
      <c r="W500" s="25"/>
      <c r="X500" s="25"/>
      <c r="Y500" s="25"/>
    </row>
    <row r="501" ht="14.25" customHeight="1">
      <c r="V501" s="25"/>
      <c r="W501" s="25"/>
      <c r="X501" s="25"/>
      <c r="Y501" s="25"/>
    </row>
    <row r="502" ht="14.25" customHeight="1">
      <c r="V502" s="25"/>
      <c r="W502" s="25"/>
      <c r="X502" s="25"/>
      <c r="Y502" s="25"/>
    </row>
    <row r="503" ht="14.25" customHeight="1">
      <c r="V503" s="25"/>
      <c r="W503" s="25"/>
      <c r="X503" s="25"/>
      <c r="Y503" s="25"/>
    </row>
    <row r="504" ht="14.25" customHeight="1">
      <c r="V504" s="25"/>
      <c r="W504" s="25"/>
      <c r="X504" s="25"/>
      <c r="Y504" s="25"/>
    </row>
    <row r="505" ht="14.25" customHeight="1">
      <c r="V505" s="25"/>
      <c r="W505" s="25"/>
      <c r="X505" s="25"/>
      <c r="Y505" s="25"/>
    </row>
    <row r="506" ht="14.25" customHeight="1">
      <c r="V506" s="25"/>
      <c r="W506" s="25"/>
      <c r="X506" s="25"/>
      <c r="Y506" s="25"/>
    </row>
    <row r="507" ht="14.25" customHeight="1">
      <c r="V507" s="25"/>
      <c r="W507" s="25"/>
      <c r="X507" s="25"/>
      <c r="Y507" s="25"/>
    </row>
    <row r="508" ht="14.25" customHeight="1">
      <c r="V508" s="25"/>
      <c r="W508" s="25"/>
      <c r="X508" s="25"/>
      <c r="Y508" s="25"/>
    </row>
    <row r="509" ht="14.25" customHeight="1">
      <c r="V509" s="25"/>
      <c r="W509" s="25"/>
      <c r="X509" s="25"/>
      <c r="Y509" s="25"/>
    </row>
    <row r="510" ht="14.25" customHeight="1">
      <c r="V510" s="25"/>
      <c r="W510" s="25"/>
      <c r="X510" s="25"/>
      <c r="Y510" s="25"/>
    </row>
    <row r="511" ht="14.25" customHeight="1">
      <c r="V511" s="25"/>
      <c r="W511" s="25"/>
      <c r="X511" s="25"/>
      <c r="Y511" s="25"/>
    </row>
    <row r="512" ht="14.25" customHeight="1">
      <c r="V512" s="25"/>
      <c r="W512" s="25"/>
      <c r="X512" s="25"/>
      <c r="Y512" s="25"/>
    </row>
    <row r="513" ht="14.25" customHeight="1">
      <c r="V513" s="25"/>
      <c r="W513" s="25"/>
      <c r="X513" s="25"/>
      <c r="Y513" s="25"/>
    </row>
    <row r="514" ht="14.25" customHeight="1">
      <c r="V514" s="25"/>
      <c r="W514" s="25"/>
      <c r="X514" s="25"/>
      <c r="Y514" s="25"/>
    </row>
    <row r="515" ht="14.25" customHeight="1">
      <c r="V515" s="25"/>
      <c r="W515" s="25"/>
      <c r="X515" s="25"/>
      <c r="Y515" s="25"/>
    </row>
    <row r="516" ht="14.25" customHeight="1">
      <c r="V516" s="25"/>
      <c r="W516" s="25"/>
      <c r="X516" s="25"/>
      <c r="Y516" s="25"/>
    </row>
    <row r="517" ht="14.25" customHeight="1">
      <c r="V517" s="25"/>
      <c r="W517" s="25"/>
      <c r="X517" s="25"/>
      <c r="Y517" s="25"/>
    </row>
    <row r="518" ht="14.25" customHeight="1">
      <c r="V518" s="25"/>
      <c r="W518" s="25"/>
      <c r="X518" s="25"/>
      <c r="Y518" s="25"/>
    </row>
    <row r="519" ht="14.25" customHeight="1">
      <c r="V519" s="25"/>
      <c r="W519" s="25"/>
      <c r="X519" s="25"/>
      <c r="Y519" s="25"/>
    </row>
    <row r="520" ht="14.25" customHeight="1">
      <c r="V520" s="25"/>
      <c r="W520" s="25"/>
      <c r="X520" s="25"/>
      <c r="Y520" s="25"/>
    </row>
    <row r="521" ht="14.25" customHeight="1">
      <c r="V521" s="25"/>
      <c r="W521" s="25"/>
      <c r="X521" s="25"/>
      <c r="Y521" s="25"/>
    </row>
    <row r="522" ht="14.25" customHeight="1">
      <c r="V522" s="25"/>
      <c r="W522" s="25"/>
      <c r="X522" s="25"/>
      <c r="Y522" s="25"/>
    </row>
    <row r="523" ht="14.25" customHeight="1">
      <c r="V523" s="25"/>
      <c r="W523" s="25"/>
      <c r="X523" s="25"/>
      <c r="Y523" s="25"/>
    </row>
    <row r="524" ht="14.25" customHeight="1">
      <c r="V524" s="25"/>
      <c r="W524" s="25"/>
      <c r="X524" s="25"/>
      <c r="Y524" s="25"/>
    </row>
    <row r="525" ht="14.25" customHeight="1">
      <c r="V525" s="25"/>
      <c r="W525" s="25"/>
      <c r="X525" s="25"/>
      <c r="Y525" s="25"/>
    </row>
    <row r="526" ht="14.25" customHeight="1">
      <c r="V526" s="25"/>
      <c r="W526" s="25"/>
      <c r="X526" s="25"/>
      <c r="Y526" s="25"/>
    </row>
    <row r="527" ht="14.25" customHeight="1">
      <c r="V527" s="25"/>
      <c r="W527" s="25"/>
      <c r="X527" s="25"/>
      <c r="Y527" s="25"/>
    </row>
    <row r="528" ht="14.25" customHeight="1">
      <c r="V528" s="25"/>
      <c r="W528" s="25"/>
      <c r="X528" s="25"/>
      <c r="Y528" s="25"/>
    </row>
    <row r="529" ht="14.25" customHeight="1">
      <c r="V529" s="25"/>
      <c r="W529" s="25"/>
      <c r="X529" s="25"/>
      <c r="Y529" s="25"/>
    </row>
    <row r="530" ht="14.25" customHeight="1">
      <c r="V530" s="25"/>
      <c r="W530" s="25"/>
      <c r="X530" s="25"/>
      <c r="Y530" s="25"/>
    </row>
    <row r="531" ht="14.25" customHeight="1">
      <c r="V531" s="25"/>
      <c r="W531" s="25"/>
      <c r="X531" s="25"/>
      <c r="Y531" s="25"/>
    </row>
    <row r="532" ht="14.25" customHeight="1">
      <c r="V532" s="25"/>
      <c r="W532" s="25"/>
      <c r="X532" s="25"/>
      <c r="Y532" s="25"/>
    </row>
    <row r="533" ht="14.25" customHeight="1">
      <c r="V533" s="25"/>
      <c r="W533" s="25"/>
      <c r="X533" s="25"/>
      <c r="Y533" s="25"/>
    </row>
    <row r="534" ht="14.25" customHeight="1">
      <c r="V534" s="25"/>
      <c r="W534" s="25"/>
      <c r="X534" s="25"/>
      <c r="Y534" s="25"/>
    </row>
    <row r="535" ht="14.25" customHeight="1">
      <c r="V535" s="25"/>
      <c r="W535" s="25"/>
      <c r="X535" s="25"/>
      <c r="Y535" s="25"/>
    </row>
    <row r="536" ht="14.25" customHeight="1">
      <c r="V536" s="25"/>
      <c r="W536" s="25"/>
      <c r="X536" s="25"/>
      <c r="Y536" s="25"/>
    </row>
    <row r="537" ht="14.25" customHeight="1">
      <c r="V537" s="25"/>
      <c r="W537" s="25"/>
      <c r="X537" s="25"/>
      <c r="Y537" s="25"/>
    </row>
    <row r="538" ht="14.25" customHeight="1">
      <c r="V538" s="25"/>
      <c r="W538" s="25"/>
      <c r="X538" s="25"/>
      <c r="Y538" s="25"/>
    </row>
    <row r="539" ht="14.25" customHeight="1">
      <c r="V539" s="25"/>
      <c r="W539" s="25"/>
      <c r="X539" s="25"/>
      <c r="Y539" s="25"/>
    </row>
    <row r="540" ht="14.25" customHeight="1">
      <c r="V540" s="25"/>
      <c r="W540" s="25"/>
      <c r="X540" s="25"/>
      <c r="Y540" s="25"/>
    </row>
    <row r="541" ht="14.25" customHeight="1">
      <c r="V541" s="25"/>
      <c r="W541" s="25"/>
      <c r="X541" s="25"/>
      <c r="Y541" s="25"/>
    </row>
    <row r="542" ht="14.25" customHeight="1">
      <c r="V542" s="25"/>
      <c r="W542" s="25"/>
      <c r="X542" s="25"/>
      <c r="Y542" s="25"/>
    </row>
    <row r="543" ht="14.25" customHeight="1">
      <c r="V543" s="25"/>
      <c r="W543" s="25"/>
      <c r="X543" s="25"/>
      <c r="Y543" s="25"/>
    </row>
    <row r="544" ht="14.25" customHeight="1">
      <c r="V544" s="25"/>
      <c r="W544" s="25"/>
      <c r="X544" s="25"/>
      <c r="Y544" s="25"/>
    </row>
    <row r="545" ht="14.25" customHeight="1">
      <c r="V545" s="25"/>
      <c r="W545" s="25"/>
      <c r="X545" s="25"/>
      <c r="Y545" s="25"/>
    </row>
    <row r="546" ht="14.25" customHeight="1">
      <c r="V546" s="25"/>
      <c r="W546" s="25"/>
      <c r="X546" s="25"/>
      <c r="Y546" s="25"/>
    </row>
    <row r="547" ht="14.25" customHeight="1">
      <c r="V547" s="25"/>
      <c r="W547" s="25"/>
      <c r="X547" s="25"/>
      <c r="Y547" s="25"/>
    </row>
    <row r="548" ht="14.25" customHeight="1">
      <c r="V548" s="25"/>
      <c r="W548" s="25"/>
      <c r="X548" s="25"/>
      <c r="Y548" s="25"/>
    </row>
    <row r="549" ht="14.25" customHeight="1">
      <c r="V549" s="25"/>
      <c r="W549" s="25"/>
      <c r="X549" s="25"/>
      <c r="Y549" s="25"/>
    </row>
    <row r="550" ht="14.25" customHeight="1">
      <c r="V550" s="25"/>
      <c r="W550" s="25"/>
      <c r="X550" s="25"/>
      <c r="Y550" s="25"/>
    </row>
    <row r="551" ht="14.25" customHeight="1">
      <c r="V551" s="25"/>
      <c r="W551" s="25"/>
      <c r="X551" s="25"/>
      <c r="Y551" s="25"/>
    </row>
    <row r="552" ht="14.25" customHeight="1">
      <c r="V552" s="25"/>
      <c r="W552" s="25"/>
      <c r="X552" s="25"/>
      <c r="Y552" s="25"/>
    </row>
    <row r="553" ht="14.25" customHeight="1">
      <c r="V553" s="25"/>
      <c r="W553" s="25"/>
      <c r="X553" s="25"/>
      <c r="Y553" s="25"/>
    </row>
    <row r="554" ht="14.25" customHeight="1">
      <c r="V554" s="25"/>
      <c r="W554" s="25"/>
      <c r="X554" s="25"/>
      <c r="Y554" s="25"/>
    </row>
    <row r="555" ht="14.25" customHeight="1">
      <c r="V555" s="25"/>
      <c r="W555" s="25"/>
      <c r="X555" s="25"/>
      <c r="Y555" s="25"/>
    </row>
    <row r="556" ht="14.25" customHeight="1">
      <c r="V556" s="25"/>
      <c r="W556" s="25"/>
      <c r="X556" s="25"/>
      <c r="Y556" s="25"/>
    </row>
    <row r="557" ht="14.25" customHeight="1">
      <c r="V557" s="25"/>
      <c r="W557" s="25"/>
      <c r="X557" s="25"/>
      <c r="Y557" s="25"/>
    </row>
    <row r="558" ht="14.25" customHeight="1">
      <c r="V558" s="25"/>
      <c r="W558" s="25"/>
      <c r="X558" s="25"/>
      <c r="Y558" s="25"/>
    </row>
    <row r="559" ht="14.25" customHeight="1">
      <c r="V559" s="25"/>
      <c r="W559" s="25"/>
      <c r="X559" s="25"/>
      <c r="Y559" s="25"/>
    </row>
    <row r="560" ht="14.25" customHeight="1">
      <c r="V560" s="25"/>
      <c r="W560" s="25"/>
      <c r="X560" s="25"/>
      <c r="Y560" s="25"/>
    </row>
    <row r="561" ht="14.25" customHeight="1">
      <c r="V561" s="25"/>
      <c r="W561" s="25"/>
      <c r="X561" s="25"/>
      <c r="Y561" s="25"/>
    </row>
    <row r="562" ht="14.25" customHeight="1">
      <c r="V562" s="25"/>
      <c r="W562" s="25"/>
      <c r="X562" s="25"/>
      <c r="Y562" s="25"/>
    </row>
    <row r="563" ht="14.25" customHeight="1">
      <c r="V563" s="25"/>
      <c r="W563" s="25"/>
      <c r="X563" s="25"/>
      <c r="Y563" s="25"/>
    </row>
    <row r="564" ht="14.25" customHeight="1">
      <c r="V564" s="25"/>
      <c r="W564" s="25"/>
      <c r="X564" s="25"/>
      <c r="Y564" s="25"/>
    </row>
    <row r="565" ht="14.25" customHeight="1">
      <c r="V565" s="25"/>
      <c r="W565" s="25"/>
      <c r="X565" s="25"/>
      <c r="Y565" s="25"/>
    </row>
    <row r="566" ht="14.25" customHeight="1">
      <c r="V566" s="25"/>
      <c r="W566" s="25"/>
      <c r="X566" s="25"/>
      <c r="Y566" s="25"/>
    </row>
    <row r="567" ht="14.25" customHeight="1">
      <c r="V567" s="25"/>
      <c r="W567" s="25"/>
      <c r="X567" s="25"/>
      <c r="Y567" s="25"/>
    </row>
    <row r="568" ht="14.25" customHeight="1">
      <c r="V568" s="25"/>
      <c r="W568" s="25"/>
      <c r="X568" s="25"/>
      <c r="Y568" s="25"/>
    </row>
    <row r="569" ht="14.25" customHeight="1">
      <c r="V569" s="25"/>
      <c r="W569" s="25"/>
      <c r="X569" s="25"/>
      <c r="Y569" s="25"/>
    </row>
    <row r="570" ht="14.25" customHeight="1">
      <c r="V570" s="25"/>
      <c r="W570" s="25"/>
      <c r="X570" s="25"/>
      <c r="Y570" s="25"/>
    </row>
    <row r="571" ht="14.25" customHeight="1">
      <c r="V571" s="25"/>
      <c r="W571" s="25"/>
      <c r="X571" s="25"/>
      <c r="Y571" s="25"/>
    </row>
    <row r="572" ht="14.25" customHeight="1">
      <c r="V572" s="25"/>
      <c r="W572" s="25"/>
      <c r="X572" s="25"/>
      <c r="Y572" s="25"/>
    </row>
    <row r="573" ht="14.25" customHeight="1">
      <c r="V573" s="25"/>
      <c r="W573" s="25"/>
      <c r="X573" s="25"/>
      <c r="Y573" s="25"/>
    </row>
    <row r="574" ht="14.25" customHeight="1">
      <c r="V574" s="25"/>
      <c r="W574" s="25"/>
      <c r="X574" s="25"/>
      <c r="Y574" s="25"/>
    </row>
    <row r="575" ht="14.25" customHeight="1">
      <c r="V575" s="25"/>
      <c r="W575" s="25"/>
      <c r="X575" s="25"/>
      <c r="Y575" s="25"/>
    </row>
    <row r="576" ht="14.25" customHeight="1">
      <c r="V576" s="25"/>
      <c r="W576" s="25"/>
      <c r="X576" s="25"/>
      <c r="Y576" s="25"/>
    </row>
    <row r="577" ht="14.25" customHeight="1">
      <c r="V577" s="25"/>
      <c r="W577" s="25"/>
      <c r="X577" s="25"/>
      <c r="Y577" s="25"/>
    </row>
    <row r="578" ht="14.25" customHeight="1">
      <c r="V578" s="25"/>
      <c r="W578" s="25"/>
      <c r="X578" s="25"/>
      <c r="Y578" s="25"/>
    </row>
    <row r="579" ht="14.25" customHeight="1">
      <c r="V579" s="25"/>
      <c r="W579" s="25"/>
      <c r="X579" s="25"/>
      <c r="Y579" s="25"/>
    </row>
    <row r="580" ht="14.25" customHeight="1">
      <c r="V580" s="25"/>
      <c r="W580" s="25"/>
      <c r="X580" s="25"/>
      <c r="Y580" s="25"/>
    </row>
    <row r="581" ht="14.25" customHeight="1">
      <c r="V581" s="25"/>
      <c r="W581" s="25"/>
      <c r="X581" s="25"/>
      <c r="Y581" s="25"/>
    </row>
    <row r="582" ht="14.25" customHeight="1">
      <c r="V582" s="25"/>
      <c r="W582" s="25"/>
      <c r="X582" s="25"/>
      <c r="Y582" s="25"/>
    </row>
    <row r="583" ht="14.25" customHeight="1">
      <c r="V583" s="25"/>
      <c r="W583" s="25"/>
      <c r="X583" s="25"/>
      <c r="Y583" s="25"/>
    </row>
    <row r="584" ht="14.25" customHeight="1">
      <c r="V584" s="25"/>
      <c r="W584" s="25"/>
      <c r="X584" s="25"/>
      <c r="Y584" s="25"/>
    </row>
    <row r="585" ht="14.25" customHeight="1">
      <c r="V585" s="25"/>
      <c r="W585" s="25"/>
      <c r="X585" s="25"/>
      <c r="Y585" s="25"/>
    </row>
    <row r="586" ht="14.25" customHeight="1">
      <c r="V586" s="25"/>
      <c r="W586" s="25"/>
      <c r="X586" s="25"/>
      <c r="Y586" s="25"/>
    </row>
    <row r="587" ht="14.25" customHeight="1">
      <c r="V587" s="25"/>
      <c r="W587" s="25"/>
      <c r="X587" s="25"/>
      <c r="Y587" s="25"/>
    </row>
    <row r="588" ht="14.25" customHeight="1">
      <c r="V588" s="25"/>
      <c r="W588" s="25"/>
      <c r="X588" s="25"/>
      <c r="Y588" s="25"/>
    </row>
    <row r="589" ht="14.25" customHeight="1">
      <c r="V589" s="25"/>
      <c r="W589" s="25"/>
      <c r="X589" s="25"/>
      <c r="Y589" s="25"/>
    </row>
    <row r="590" ht="14.25" customHeight="1">
      <c r="V590" s="25"/>
      <c r="W590" s="25"/>
      <c r="X590" s="25"/>
      <c r="Y590" s="25"/>
    </row>
    <row r="591" ht="14.25" customHeight="1">
      <c r="V591" s="25"/>
      <c r="W591" s="25"/>
      <c r="X591" s="25"/>
      <c r="Y591" s="25"/>
    </row>
    <row r="592" ht="14.25" customHeight="1">
      <c r="V592" s="25"/>
      <c r="W592" s="25"/>
      <c r="X592" s="25"/>
      <c r="Y592" s="25"/>
    </row>
    <row r="593" ht="14.25" customHeight="1">
      <c r="V593" s="25"/>
      <c r="W593" s="25"/>
      <c r="X593" s="25"/>
      <c r="Y593" s="25"/>
    </row>
    <row r="594" ht="14.25" customHeight="1">
      <c r="V594" s="25"/>
      <c r="W594" s="25"/>
      <c r="X594" s="25"/>
      <c r="Y594" s="25"/>
    </row>
    <row r="595" ht="14.25" customHeight="1">
      <c r="V595" s="25"/>
      <c r="W595" s="25"/>
      <c r="X595" s="25"/>
      <c r="Y595" s="25"/>
    </row>
    <row r="596" ht="14.25" customHeight="1">
      <c r="V596" s="25"/>
      <c r="W596" s="25"/>
      <c r="X596" s="25"/>
      <c r="Y596" s="25"/>
    </row>
    <row r="597" ht="14.25" customHeight="1">
      <c r="V597" s="25"/>
      <c r="W597" s="25"/>
      <c r="X597" s="25"/>
      <c r="Y597" s="25"/>
    </row>
    <row r="598" ht="14.25" customHeight="1">
      <c r="V598" s="25"/>
      <c r="W598" s="25"/>
      <c r="X598" s="25"/>
      <c r="Y598" s="25"/>
    </row>
    <row r="599" ht="14.25" customHeight="1">
      <c r="V599" s="25"/>
      <c r="W599" s="25"/>
      <c r="X599" s="25"/>
      <c r="Y599" s="25"/>
    </row>
    <row r="600" ht="14.25" customHeight="1">
      <c r="V600" s="25"/>
      <c r="W600" s="25"/>
      <c r="X600" s="25"/>
      <c r="Y600" s="25"/>
    </row>
    <row r="601" ht="14.25" customHeight="1">
      <c r="V601" s="25"/>
      <c r="W601" s="25"/>
      <c r="X601" s="25"/>
      <c r="Y601" s="25"/>
    </row>
    <row r="602" ht="14.25" customHeight="1">
      <c r="V602" s="25"/>
      <c r="W602" s="25"/>
      <c r="X602" s="25"/>
      <c r="Y602" s="25"/>
    </row>
    <row r="603" ht="14.25" customHeight="1">
      <c r="V603" s="25"/>
      <c r="W603" s="25"/>
      <c r="X603" s="25"/>
      <c r="Y603" s="25"/>
    </row>
    <row r="604" ht="14.25" customHeight="1">
      <c r="V604" s="25"/>
      <c r="W604" s="25"/>
      <c r="X604" s="25"/>
      <c r="Y604" s="25"/>
    </row>
    <row r="605" ht="14.25" customHeight="1">
      <c r="V605" s="25"/>
      <c r="W605" s="25"/>
      <c r="X605" s="25"/>
      <c r="Y605" s="25"/>
    </row>
    <row r="606" ht="14.25" customHeight="1">
      <c r="V606" s="25"/>
      <c r="W606" s="25"/>
      <c r="X606" s="25"/>
      <c r="Y606" s="25"/>
    </row>
    <row r="607" ht="14.25" customHeight="1">
      <c r="V607" s="25"/>
      <c r="W607" s="25"/>
      <c r="X607" s="25"/>
      <c r="Y607" s="25"/>
    </row>
    <row r="608" ht="14.25" customHeight="1">
      <c r="V608" s="25"/>
      <c r="W608" s="25"/>
      <c r="X608" s="25"/>
      <c r="Y608" s="25"/>
    </row>
    <row r="609" ht="14.25" customHeight="1">
      <c r="V609" s="25"/>
      <c r="W609" s="25"/>
      <c r="X609" s="25"/>
      <c r="Y609" s="25"/>
    </row>
    <row r="610" ht="14.25" customHeight="1">
      <c r="V610" s="25"/>
      <c r="W610" s="25"/>
      <c r="X610" s="25"/>
      <c r="Y610" s="25"/>
    </row>
    <row r="611" ht="14.25" customHeight="1">
      <c r="V611" s="25"/>
      <c r="W611" s="25"/>
      <c r="X611" s="25"/>
      <c r="Y611" s="25"/>
    </row>
    <row r="612" ht="14.25" customHeight="1">
      <c r="V612" s="25"/>
      <c r="W612" s="25"/>
      <c r="X612" s="25"/>
      <c r="Y612" s="25"/>
    </row>
    <row r="613" ht="14.25" customHeight="1">
      <c r="V613" s="25"/>
      <c r="W613" s="25"/>
      <c r="X613" s="25"/>
      <c r="Y613" s="25"/>
    </row>
    <row r="614" ht="14.25" customHeight="1">
      <c r="V614" s="25"/>
      <c r="W614" s="25"/>
      <c r="X614" s="25"/>
      <c r="Y614" s="25"/>
    </row>
    <row r="615" ht="14.25" customHeight="1">
      <c r="V615" s="25"/>
      <c r="W615" s="25"/>
      <c r="X615" s="25"/>
      <c r="Y615" s="25"/>
    </row>
    <row r="616" ht="14.25" customHeight="1">
      <c r="V616" s="25"/>
      <c r="W616" s="25"/>
      <c r="X616" s="25"/>
      <c r="Y616" s="25"/>
    </row>
    <row r="617" ht="14.25" customHeight="1">
      <c r="V617" s="25"/>
      <c r="W617" s="25"/>
      <c r="X617" s="25"/>
      <c r="Y617" s="25"/>
    </row>
    <row r="618" ht="14.25" customHeight="1">
      <c r="V618" s="25"/>
      <c r="W618" s="25"/>
      <c r="X618" s="25"/>
      <c r="Y618" s="25"/>
    </row>
    <row r="619" ht="14.25" customHeight="1">
      <c r="V619" s="25"/>
      <c r="W619" s="25"/>
      <c r="X619" s="25"/>
      <c r="Y619" s="25"/>
    </row>
    <row r="620" ht="14.25" customHeight="1">
      <c r="V620" s="25"/>
      <c r="W620" s="25"/>
      <c r="X620" s="25"/>
      <c r="Y620" s="25"/>
    </row>
    <row r="621" ht="14.25" customHeight="1">
      <c r="V621" s="25"/>
      <c r="W621" s="25"/>
      <c r="X621" s="25"/>
      <c r="Y621" s="25"/>
    </row>
    <row r="622" ht="14.25" customHeight="1">
      <c r="V622" s="25"/>
      <c r="W622" s="25"/>
      <c r="X622" s="25"/>
      <c r="Y622" s="25"/>
    </row>
    <row r="623" ht="14.25" customHeight="1">
      <c r="V623" s="25"/>
      <c r="W623" s="25"/>
      <c r="X623" s="25"/>
      <c r="Y623" s="25"/>
    </row>
    <row r="624" ht="14.25" customHeight="1">
      <c r="V624" s="25"/>
      <c r="W624" s="25"/>
      <c r="X624" s="25"/>
      <c r="Y624" s="25"/>
    </row>
    <row r="625" ht="14.25" customHeight="1">
      <c r="V625" s="25"/>
      <c r="W625" s="25"/>
      <c r="X625" s="25"/>
      <c r="Y625" s="25"/>
    </row>
    <row r="626" ht="14.25" customHeight="1">
      <c r="V626" s="25"/>
      <c r="W626" s="25"/>
      <c r="X626" s="25"/>
      <c r="Y626" s="25"/>
    </row>
    <row r="627" ht="14.25" customHeight="1">
      <c r="V627" s="25"/>
      <c r="W627" s="25"/>
      <c r="X627" s="25"/>
      <c r="Y627" s="25"/>
    </row>
    <row r="628" ht="14.25" customHeight="1">
      <c r="V628" s="25"/>
      <c r="W628" s="25"/>
      <c r="X628" s="25"/>
      <c r="Y628" s="25"/>
    </row>
    <row r="629" ht="14.25" customHeight="1">
      <c r="V629" s="25"/>
      <c r="W629" s="25"/>
      <c r="X629" s="25"/>
      <c r="Y629" s="25"/>
    </row>
    <row r="630" ht="14.25" customHeight="1">
      <c r="V630" s="25"/>
      <c r="W630" s="25"/>
      <c r="X630" s="25"/>
      <c r="Y630" s="25"/>
    </row>
    <row r="631" ht="14.25" customHeight="1">
      <c r="V631" s="25"/>
      <c r="W631" s="25"/>
      <c r="X631" s="25"/>
      <c r="Y631" s="25"/>
    </row>
    <row r="632" ht="14.25" customHeight="1">
      <c r="V632" s="25"/>
      <c r="W632" s="25"/>
      <c r="X632" s="25"/>
      <c r="Y632" s="25"/>
    </row>
    <row r="633" ht="14.25" customHeight="1">
      <c r="V633" s="25"/>
      <c r="W633" s="25"/>
      <c r="X633" s="25"/>
      <c r="Y633" s="25"/>
    </row>
    <row r="634" ht="14.25" customHeight="1">
      <c r="V634" s="25"/>
      <c r="W634" s="25"/>
      <c r="X634" s="25"/>
      <c r="Y634" s="25"/>
    </row>
    <row r="635" ht="14.25" customHeight="1">
      <c r="V635" s="25"/>
      <c r="W635" s="25"/>
      <c r="X635" s="25"/>
      <c r="Y635" s="25"/>
    </row>
    <row r="636" ht="14.25" customHeight="1">
      <c r="V636" s="25"/>
      <c r="W636" s="25"/>
      <c r="X636" s="25"/>
      <c r="Y636" s="25"/>
    </row>
    <row r="637" ht="14.25" customHeight="1">
      <c r="V637" s="25"/>
      <c r="W637" s="25"/>
      <c r="X637" s="25"/>
      <c r="Y637" s="25"/>
    </row>
    <row r="638" ht="14.25" customHeight="1">
      <c r="V638" s="25"/>
      <c r="W638" s="25"/>
      <c r="X638" s="25"/>
      <c r="Y638" s="25"/>
    </row>
    <row r="639" ht="14.25" customHeight="1">
      <c r="V639" s="25"/>
      <c r="W639" s="25"/>
      <c r="X639" s="25"/>
      <c r="Y639" s="25"/>
    </row>
    <row r="640" ht="14.25" customHeight="1">
      <c r="V640" s="25"/>
      <c r="W640" s="25"/>
      <c r="X640" s="25"/>
      <c r="Y640" s="25"/>
    </row>
    <row r="641" ht="14.25" customHeight="1">
      <c r="V641" s="25"/>
      <c r="W641" s="25"/>
      <c r="X641" s="25"/>
      <c r="Y641" s="25"/>
    </row>
    <row r="642" ht="14.25" customHeight="1">
      <c r="V642" s="25"/>
      <c r="W642" s="25"/>
      <c r="X642" s="25"/>
      <c r="Y642" s="25"/>
    </row>
    <row r="643" ht="14.25" customHeight="1">
      <c r="V643" s="25"/>
      <c r="W643" s="25"/>
      <c r="X643" s="25"/>
      <c r="Y643" s="25"/>
    </row>
    <row r="644" ht="14.25" customHeight="1">
      <c r="V644" s="25"/>
      <c r="W644" s="25"/>
      <c r="X644" s="25"/>
      <c r="Y644" s="25"/>
    </row>
    <row r="645" ht="14.25" customHeight="1">
      <c r="V645" s="25"/>
      <c r="W645" s="25"/>
      <c r="X645" s="25"/>
      <c r="Y645" s="25"/>
    </row>
    <row r="646" ht="14.25" customHeight="1">
      <c r="V646" s="25"/>
      <c r="W646" s="25"/>
      <c r="X646" s="25"/>
      <c r="Y646" s="25"/>
    </row>
    <row r="647" ht="14.25" customHeight="1">
      <c r="V647" s="25"/>
      <c r="W647" s="25"/>
      <c r="X647" s="25"/>
      <c r="Y647" s="25"/>
    </row>
    <row r="648" ht="14.25" customHeight="1">
      <c r="V648" s="25"/>
      <c r="W648" s="25"/>
      <c r="X648" s="25"/>
      <c r="Y648" s="25"/>
    </row>
    <row r="649" ht="14.25" customHeight="1">
      <c r="V649" s="25"/>
      <c r="W649" s="25"/>
      <c r="X649" s="25"/>
      <c r="Y649" s="25"/>
    </row>
    <row r="650" ht="14.25" customHeight="1">
      <c r="V650" s="25"/>
      <c r="W650" s="25"/>
      <c r="X650" s="25"/>
      <c r="Y650" s="25"/>
    </row>
    <row r="651" ht="14.25" customHeight="1">
      <c r="V651" s="25"/>
      <c r="W651" s="25"/>
      <c r="X651" s="25"/>
      <c r="Y651" s="25"/>
    </row>
    <row r="652" ht="14.25" customHeight="1">
      <c r="V652" s="25"/>
      <c r="W652" s="25"/>
      <c r="X652" s="25"/>
      <c r="Y652" s="25"/>
    </row>
    <row r="653" ht="14.25" customHeight="1">
      <c r="V653" s="25"/>
      <c r="W653" s="25"/>
      <c r="X653" s="25"/>
      <c r="Y653" s="25"/>
    </row>
    <row r="654" ht="14.25" customHeight="1">
      <c r="V654" s="25"/>
      <c r="W654" s="25"/>
      <c r="X654" s="25"/>
      <c r="Y654" s="25"/>
    </row>
    <row r="655" ht="14.25" customHeight="1">
      <c r="V655" s="25"/>
      <c r="W655" s="25"/>
      <c r="X655" s="25"/>
      <c r="Y655" s="25"/>
    </row>
    <row r="656" ht="14.25" customHeight="1">
      <c r="V656" s="25"/>
      <c r="W656" s="25"/>
      <c r="X656" s="25"/>
      <c r="Y656" s="25"/>
    </row>
    <row r="657" ht="14.25" customHeight="1">
      <c r="V657" s="25"/>
      <c r="W657" s="25"/>
      <c r="X657" s="25"/>
      <c r="Y657" s="25"/>
    </row>
    <row r="658" ht="14.25" customHeight="1">
      <c r="V658" s="25"/>
      <c r="W658" s="25"/>
      <c r="X658" s="25"/>
      <c r="Y658" s="25"/>
    </row>
    <row r="659" ht="14.25" customHeight="1">
      <c r="V659" s="25"/>
      <c r="W659" s="25"/>
      <c r="X659" s="25"/>
      <c r="Y659" s="25"/>
    </row>
    <row r="660" ht="14.25" customHeight="1">
      <c r="V660" s="25"/>
      <c r="W660" s="25"/>
      <c r="X660" s="25"/>
      <c r="Y660" s="25"/>
    </row>
    <row r="661" ht="14.25" customHeight="1">
      <c r="V661" s="25"/>
      <c r="W661" s="25"/>
      <c r="X661" s="25"/>
      <c r="Y661" s="25"/>
    </row>
    <row r="662" ht="14.25" customHeight="1">
      <c r="V662" s="25"/>
      <c r="W662" s="25"/>
      <c r="X662" s="25"/>
      <c r="Y662" s="25"/>
    </row>
    <row r="663" ht="14.25" customHeight="1">
      <c r="V663" s="25"/>
      <c r="W663" s="25"/>
      <c r="X663" s="25"/>
      <c r="Y663" s="25"/>
    </row>
    <row r="664" ht="14.25" customHeight="1">
      <c r="V664" s="25"/>
      <c r="W664" s="25"/>
      <c r="X664" s="25"/>
      <c r="Y664" s="25"/>
    </row>
    <row r="665" ht="14.25" customHeight="1">
      <c r="V665" s="25"/>
      <c r="W665" s="25"/>
      <c r="X665" s="25"/>
      <c r="Y665" s="25"/>
    </row>
    <row r="666" ht="14.25" customHeight="1">
      <c r="V666" s="25"/>
      <c r="W666" s="25"/>
      <c r="X666" s="25"/>
      <c r="Y666" s="25"/>
    </row>
    <row r="667" ht="14.25" customHeight="1">
      <c r="V667" s="25"/>
      <c r="W667" s="25"/>
      <c r="X667" s="25"/>
      <c r="Y667" s="25"/>
    </row>
    <row r="668" ht="14.25" customHeight="1">
      <c r="V668" s="25"/>
      <c r="W668" s="25"/>
      <c r="X668" s="25"/>
      <c r="Y668" s="25"/>
    </row>
    <row r="669" ht="14.25" customHeight="1">
      <c r="V669" s="25"/>
      <c r="W669" s="25"/>
      <c r="X669" s="25"/>
      <c r="Y669" s="25"/>
    </row>
    <row r="670" ht="14.25" customHeight="1">
      <c r="V670" s="25"/>
      <c r="W670" s="25"/>
      <c r="X670" s="25"/>
      <c r="Y670" s="25"/>
    </row>
    <row r="671" ht="14.25" customHeight="1">
      <c r="V671" s="25"/>
      <c r="W671" s="25"/>
      <c r="X671" s="25"/>
      <c r="Y671" s="25"/>
    </row>
    <row r="672" ht="14.25" customHeight="1">
      <c r="V672" s="25"/>
      <c r="W672" s="25"/>
      <c r="X672" s="25"/>
      <c r="Y672" s="25"/>
    </row>
    <row r="673" ht="14.25" customHeight="1">
      <c r="V673" s="25"/>
      <c r="W673" s="25"/>
      <c r="X673" s="25"/>
      <c r="Y673" s="25"/>
    </row>
    <row r="674" ht="14.25" customHeight="1">
      <c r="V674" s="25"/>
      <c r="W674" s="25"/>
      <c r="X674" s="25"/>
      <c r="Y674" s="25"/>
    </row>
    <row r="675" ht="14.25" customHeight="1">
      <c r="V675" s="25"/>
      <c r="W675" s="25"/>
      <c r="X675" s="25"/>
      <c r="Y675" s="25"/>
    </row>
    <row r="676" ht="14.25" customHeight="1">
      <c r="V676" s="25"/>
      <c r="W676" s="25"/>
      <c r="X676" s="25"/>
      <c r="Y676" s="25"/>
    </row>
    <row r="677" ht="14.25" customHeight="1">
      <c r="V677" s="25"/>
      <c r="W677" s="25"/>
      <c r="X677" s="25"/>
      <c r="Y677" s="25"/>
    </row>
    <row r="678" ht="14.25" customHeight="1">
      <c r="V678" s="25"/>
      <c r="W678" s="25"/>
      <c r="X678" s="25"/>
      <c r="Y678" s="25"/>
    </row>
    <row r="679" ht="14.25" customHeight="1">
      <c r="V679" s="25"/>
      <c r="W679" s="25"/>
      <c r="X679" s="25"/>
      <c r="Y679" s="25"/>
    </row>
    <row r="680" ht="14.25" customHeight="1">
      <c r="V680" s="25"/>
      <c r="W680" s="25"/>
      <c r="X680" s="25"/>
      <c r="Y680" s="25"/>
    </row>
    <row r="681" ht="14.25" customHeight="1">
      <c r="V681" s="25"/>
      <c r="W681" s="25"/>
      <c r="X681" s="25"/>
      <c r="Y681" s="25"/>
    </row>
    <row r="682" ht="14.25" customHeight="1">
      <c r="V682" s="25"/>
      <c r="W682" s="25"/>
      <c r="X682" s="25"/>
      <c r="Y682" s="25"/>
    </row>
    <row r="683" ht="14.25" customHeight="1">
      <c r="V683" s="25"/>
      <c r="W683" s="25"/>
      <c r="X683" s="25"/>
      <c r="Y683" s="25"/>
    </row>
    <row r="684" ht="14.25" customHeight="1">
      <c r="V684" s="25"/>
      <c r="W684" s="25"/>
      <c r="X684" s="25"/>
      <c r="Y684" s="25"/>
    </row>
    <row r="685" ht="14.25" customHeight="1">
      <c r="V685" s="25"/>
      <c r="W685" s="25"/>
      <c r="X685" s="25"/>
      <c r="Y685" s="25"/>
    </row>
    <row r="686" ht="14.25" customHeight="1">
      <c r="V686" s="25"/>
      <c r="W686" s="25"/>
      <c r="X686" s="25"/>
      <c r="Y686" s="25"/>
    </row>
    <row r="687" ht="14.25" customHeight="1">
      <c r="V687" s="25"/>
      <c r="W687" s="25"/>
      <c r="X687" s="25"/>
      <c r="Y687" s="25"/>
    </row>
    <row r="688" ht="14.25" customHeight="1">
      <c r="V688" s="25"/>
      <c r="W688" s="25"/>
      <c r="X688" s="25"/>
      <c r="Y688" s="25"/>
    </row>
    <row r="689" ht="14.25" customHeight="1">
      <c r="V689" s="25"/>
      <c r="W689" s="25"/>
      <c r="X689" s="25"/>
      <c r="Y689" s="25"/>
    </row>
    <row r="690" ht="14.25" customHeight="1">
      <c r="V690" s="25"/>
      <c r="W690" s="25"/>
      <c r="X690" s="25"/>
      <c r="Y690" s="25"/>
    </row>
    <row r="691" ht="14.25" customHeight="1">
      <c r="V691" s="25"/>
      <c r="W691" s="25"/>
      <c r="X691" s="25"/>
      <c r="Y691" s="25"/>
    </row>
    <row r="692" ht="14.25" customHeight="1">
      <c r="V692" s="25"/>
      <c r="W692" s="25"/>
      <c r="X692" s="25"/>
      <c r="Y692" s="25"/>
    </row>
    <row r="693" ht="14.25" customHeight="1">
      <c r="V693" s="25"/>
      <c r="W693" s="25"/>
      <c r="X693" s="25"/>
      <c r="Y693" s="25"/>
    </row>
    <row r="694" ht="14.25" customHeight="1">
      <c r="V694" s="25"/>
      <c r="W694" s="25"/>
      <c r="X694" s="25"/>
      <c r="Y694" s="25"/>
    </row>
    <row r="695" ht="14.25" customHeight="1">
      <c r="V695" s="25"/>
      <c r="W695" s="25"/>
      <c r="X695" s="25"/>
      <c r="Y695" s="25"/>
    </row>
    <row r="696" ht="14.25" customHeight="1">
      <c r="V696" s="25"/>
      <c r="W696" s="25"/>
      <c r="X696" s="25"/>
      <c r="Y696" s="25"/>
    </row>
    <row r="697" ht="14.25" customHeight="1">
      <c r="V697" s="25"/>
      <c r="W697" s="25"/>
      <c r="X697" s="25"/>
      <c r="Y697" s="25"/>
    </row>
    <row r="698" ht="14.25" customHeight="1">
      <c r="V698" s="25"/>
      <c r="W698" s="25"/>
      <c r="X698" s="25"/>
      <c r="Y698" s="25"/>
    </row>
    <row r="699" ht="14.25" customHeight="1">
      <c r="V699" s="25"/>
      <c r="W699" s="25"/>
      <c r="X699" s="25"/>
      <c r="Y699" s="25"/>
    </row>
    <row r="700" ht="14.25" customHeight="1">
      <c r="V700" s="25"/>
      <c r="W700" s="25"/>
      <c r="X700" s="25"/>
      <c r="Y700" s="25"/>
    </row>
    <row r="701" ht="14.25" customHeight="1">
      <c r="V701" s="25"/>
      <c r="W701" s="25"/>
      <c r="X701" s="25"/>
      <c r="Y701" s="25"/>
    </row>
    <row r="702" ht="14.25" customHeight="1">
      <c r="V702" s="25"/>
      <c r="W702" s="25"/>
      <c r="X702" s="25"/>
      <c r="Y702" s="25"/>
    </row>
    <row r="703" ht="14.25" customHeight="1">
      <c r="V703" s="25"/>
      <c r="W703" s="25"/>
      <c r="X703" s="25"/>
      <c r="Y703" s="25"/>
    </row>
    <row r="704" ht="14.25" customHeight="1">
      <c r="V704" s="25"/>
      <c r="W704" s="25"/>
      <c r="X704" s="25"/>
      <c r="Y704" s="25"/>
    </row>
    <row r="705" ht="14.25" customHeight="1">
      <c r="V705" s="25"/>
      <c r="W705" s="25"/>
      <c r="X705" s="25"/>
      <c r="Y705" s="25"/>
    </row>
    <row r="706" ht="14.25" customHeight="1">
      <c r="V706" s="25"/>
      <c r="W706" s="25"/>
      <c r="X706" s="25"/>
      <c r="Y706" s="25"/>
    </row>
    <row r="707" ht="14.25" customHeight="1">
      <c r="V707" s="25"/>
      <c r="W707" s="25"/>
      <c r="X707" s="25"/>
      <c r="Y707" s="25"/>
    </row>
    <row r="708" ht="14.25" customHeight="1">
      <c r="V708" s="25"/>
      <c r="W708" s="25"/>
      <c r="X708" s="25"/>
      <c r="Y708" s="25"/>
    </row>
    <row r="709" ht="14.25" customHeight="1">
      <c r="V709" s="25"/>
      <c r="W709" s="25"/>
      <c r="X709" s="25"/>
      <c r="Y709" s="25"/>
    </row>
    <row r="710" ht="14.25" customHeight="1">
      <c r="V710" s="25"/>
      <c r="W710" s="25"/>
      <c r="X710" s="25"/>
      <c r="Y710" s="25"/>
    </row>
    <row r="711" ht="14.25" customHeight="1">
      <c r="V711" s="25"/>
      <c r="W711" s="25"/>
      <c r="X711" s="25"/>
      <c r="Y711" s="25"/>
    </row>
    <row r="712" ht="14.25" customHeight="1">
      <c r="V712" s="25"/>
      <c r="W712" s="25"/>
      <c r="X712" s="25"/>
      <c r="Y712" s="25"/>
    </row>
    <row r="713" ht="14.25" customHeight="1">
      <c r="V713" s="25"/>
      <c r="W713" s="25"/>
      <c r="X713" s="25"/>
      <c r="Y713" s="25"/>
    </row>
    <row r="714" ht="14.25" customHeight="1">
      <c r="V714" s="25"/>
      <c r="W714" s="25"/>
      <c r="X714" s="25"/>
      <c r="Y714" s="25"/>
    </row>
    <row r="715" ht="14.25" customHeight="1">
      <c r="V715" s="25"/>
      <c r="W715" s="25"/>
      <c r="X715" s="25"/>
      <c r="Y715" s="25"/>
    </row>
    <row r="716" ht="14.25" customHeight="1">
      <c r="V716" s="25"/>
      <c r="W716" s="25"/>
      <c r="X716" s="25"/>
      <c r="Y716" s="25"/>
    </row>
    <row r="717" ht="14.25" customHeight="1">
      <c r="V717" s="25"/>
      <c r="W717" s="25"/>
      <c r="X717" s="25"/>
      <c r="Y717" s="25"/>
    </row>
    <row r="718" ht="14.25" customHeight="1">
      <c r="V718" s="25"/>
      <c r="W718" s="25"/>
      <c r="X718" s="25"/>
      <c r="Y718" s="25"/>
    </row>
    <row r="719" ht="14.25" customHeight="1">
      <c r="V719" s="25"/>
      <c r="W719" s="25"/>
      <c r="X719" s="25"/>
      <c r="Y719" s="25"/>
    </row>
    <row r="720" ht="14.25" customHeight="1">
      <c r="V720" s="25"/>
      <c r="W720" s="25"/>
      <c r="X720" s="25"/>
      <c r="Y720" s="25"/>
    </row>
    <row r="721" ht="14.25" customHeight="1">
      <c r="V721" s="25"/>
      <c r="W721" s="25"/>
      <c r="X721" s="25"/>
      <c r="Y721" s="25"/>
    </row>
    <row r="722" ht="14.25" customHeight="1">
      <c r="V722" s="25"/>
      <c r="W722" s="25"/>
      <c r="X722" s="25"/>
      <c r="Y722" s="25"/>
    </row>
    <row r="723" ht="14.25" customHeight="1">
      <c r="V723" s="25"/>
      <c r="W723" s="25"/>
      <c r="X723" s="25"/>
      <c r="Y723" s="25"/>
    </row>
    <row r="724" ht="14.25" customHeight="1">
      <c r="V724" s="25"/>
      <c r="W724" s="25"/>
      <c r="X724" s="25"/>
      <c r="Y724" s="25"/>
    </row>
    <row r="725" ht="14.25" customHeight="1">
      <c r="V725" s="25"/>
      <c r="W725" s="25"/>
      <c r="X725" s="25"/>
      <c r="Y725" s="25"/>
    </row>
    <row r="726" ht="14.25" customHeight="1">
      <c r="V726" s="25"/>
      <c r="W726" s="25"/>
      <c r="X726" s="25"/>
      <c r="Y726" s="25"/>
    </row>
    <row r="727" ht="14.25" customHeight="1">
      <c r="V727" s="25"/>
      <c r="W727" s="25"/>
      <c r="X727" s="25"/>
      <c r="Y727" s="25"/>
    </row>
    <row r="728" ht="14.25" customHeight="1">
      <c r="V728" s="25"/>
      <c r="W728" s="25"/>
      <c r="X728" s="25"/>
      <c r="Y728" s="25"/>
    </row>
    <row r="729" ht="14.25" customHeight="1">
      <c r="V729" s="25"/>
      <c r="W729" s="25"/>
      <c r="X729" s="25"/>
      <c r="Y729" s="25"/>
    </row>
    <row r="730" ht="14.25" customHeight="1">
      <c r="V730" s="25"/>
      <c r="W730" s="25"/>
      <c r="X730" s="25"/>
      <c r="Y730" s="25"/>
    </row>
    <row r="731" ht="14.25" customHeight="1">
      <c r="V731" s="25"/>
      <c r="W731" s="25"/>
      <c r="X731" s="25"/>
      <c r="Y731" s="25"/>
    </row>
    <row r="732" ht="14.25" customHeight="1">
      <c r="V732" s="25"/>
      <c r="W732" s="25"/>
      <c r="X732" s="25"/>
      <c r="Y732" s="25"/>
    </row>
    <row r="733" ht="14.25" customHeight="1">
      <c r="V733" s="25"/>
      <c r="W733" s="25"/>
      <c r="X733" s="25"/>
      <c r="Y733" s="25"/>
    </row>
    <row r="734" ht="14.25" customHeight="1">
      <c r="V734" s="25"/>
      <c r="W734" s="25"/>
      <c r="X734" s="25"/>
      <c r="Y734" s="25"/>
    </row>
    <row r="735" ht="14.25" customHeight="1">
      <c r="V735" s="25"/>
      <c r="W735" s="25"/>
      <c r="X735" s="25"/>
      <c r="Y735" s="25"/>
    </row>
    <row r="736" ht="14.25" customHeight="1">
      <c r="V736" s="25"/>
      <c r="W736" s="25"/>
      <c r="X736" s="25"/>
      <c r="Y736" s="25"/>
    </row>
    <row r="737" ht="14.25" customHeight="1">
      <c r="V737" s="25"/>
      <c r="W737" s="25"/>
      <c r="X737" s="25"/>
      <c r="Y737" s="25"/>
    </row>
    <row r="738" ht="14.25" customHeight="1">
      <c r="V738" s="25"/>
      <c r="W738" s="25"/>
      <c r="X738" s="25"/>
      <c r="Y738" s="25"/>
    </row>
    <row r="739" ht="14.25" customHeight="1">
      <c r="V739" s="25"/>
      <c r="W739" s="25"/>
      <c r="X739" s="25"/>
      <c r="Y739" s="25"/>
    </row>
    <row r="740" ht="14.25" customHeight="1">
      <c r="V740" s="25"/>
      <c r="W740" s="25"/>
      <c r="X740" s="25"/>
      <c r="Y740" s="25"/>
    </row>
    <row r="741" ht="14.25" customHeight="1">
      <c r="V741" s="25"/>
      <c r="W741" s="25"/>
      <c r="X741" s="25"/>
      <c r="Y741" s="25"/>
    </row>
    <row r="742" ht="14.25" customHeight="1">
      <c r="V742" s="25"/>
      <c r="W742" s="25"/>
      <c r="X742" s="25"/>
      <c r="Y742" s="25"/>
    </row>
    <row r="743" ht="14.25" customHeight="1">
      <c r="V743" s="25"/>
      <c r="W743" s="25"/>
      <c r="X743" s="25"/>
      <c r="Y743" s="25"/>
    </row>
    <row r="744" ht="14.25" customHeight="1">
      <c r="V744" s="25"/>
      <c r="W744" s="25"/>
      <c r="X744" s="25"/>
      <c r="Y744" s="25"/>
    </row>
    <row r="745" ht="14.25" customHeight="1">
      <c r="V745" s="25"/>
      <c r="W745" s="25"/>
      <c r="X745" s="25"/>
      <c r="Y745" s="25"/>
    </row>
    <row r="746" ht="14.25" customHeight="1">
      <c r="V746" s="25"/>
      <c r="W746" s="25"/>
      <c r="X746" s="25"/>
      <c r="Y746" s="25"/>
    </row>
    <row r="747" ht="14.25" customHeight="1">
      <c r="V747" s="25"/>
      <c r="W747" s="25"/>
      <c r="X747" s="25"/>
      <c r="Y747" s="25"/>
    </row>
    <row r="748" ht="14.25" customHeight="1">
      <c r="V748" s="25"/>
      <c r="W748" s="25"/>
      <c r="X748" s="25"/>
      <c r="Y748" s="25"/>
    </row>
    <row r="749" ht="14.25" customHeight="1">
      <c r="V749" s="25"/>
      <c r="W749" s="25"/>
      <c r="X749" s="25"/>
      <c r="Y749" s="25"/>
    </row>
    <row r="750" ht="14.25" customHeight="1">
      <c r="V750" s="25"/>
      <c r="W750" s="25"/>
      <c r="X750" s="25"/>
      <c r="Y750" s="25"/>
    </row>
    <row r="751" ht="14.25" customHeight="1">
      <c r="V751" s="25"/>
      <c r="W751" s="25"/>
      <c r="X751" s="25"/>
      <c r="Y751" s="25"/>
    </row>
    <row r="752" ht="14.25" customHeight="1">
      <c r="V752" s="25"/>
      <c r="W752" s="25"/>
      <c r="X752" s="25"/>
      <c r="Y752" s="25"/>
    </row>
    <row r="753" ht="14.25" customHeight="1">
      <c r="V753" s="25"/>
      <c r="W753" s="25"/>
      <c r="X753" s="25"/>
      <c r="Y753" s="25"/>
    </row>
    <row r="754" ht="14.25" customHeight="1">
      <c r="V754" s="25"/>
      <c r="W754" s="25"/>
      <c r="X754" s="25"/>
      <c r="Y754" s="25"/>
    </row>
    <row r="755" ht="14.25" customHeight="1">
      <c r="V755" s="25"/>
      <c r="W755" s="25"/>
      <c r="X755" s="25"/>
      <c r="Y755" s="25"/>
    </row>
    <row r="756" ht="14.25" customHeight="1">
      <c r="V756" s="25"/>
      <c r="W756" s="25"/>
      <c r="X756" s="25"/>
      <c r="Y756" s="25"/>
    </row>
    <row r="757" ht="14.25" customHeight="1">
      <c r="V757" s="25"/>
      <c r="W757" s="25"/>
      <c r="X757" s="25"/>
      <c r="Y757" s="25"/>
    </row>
    <row r="758" ht="14.25" customHeight="1">
      <c r="V758" s="25"/>
      <c r="W758" s="25"/>
      <c r="X758" s="25"/>
      <c r="Y758" s="25"/>
    </row>
    <row r="759" ht="14.25" customHeight="1">
      <c r="V759" s="25"/>
      <c r="W759" s="25"/>
      <c r="X759" s="25"/>
      <c r="Y759" s="25"/>
    </row>
    <row r="760" ht="14.25" customHeight="1">
      <c r="V760" s="25"/>
      <c r="W760" s="25"/>
      <c r="X760" s="25"/>
      <c r="Y760" s="25"/>
    </row>
    <row r="761" ht="14.25" customHeight="1">
      <c r="V761" s="25"/>
      <c r="W761" s="25"/>
      <c r="X761" s="25"/>
      <c r="Y761" s="25"/>
    </row>
    <row r="762" ht="14.25" customHeight="1">
      <c r="V762" s="25"/>
      <c r="W762" s="25"/>
      <c r="X762" s="25"/>
      <c r="Y762" s="25"/>
    </row>
    <row r="763" ht="14.25" customHeight="1">
      <c r="V763" s="25"/>
      <c r="W763" s="25"/>
      <c r="X763" s="25"/>
      <c r="Y763" s="25"/>
    </row>
    <row r="764" ht="14.25" customHeight="1">
      <c r="V764" s="25"/>
      <c r="W764" s="25"/>
      <c r="X764" s="25"/>
      <c r="Y764" s="25"/>
    </row>
    <row r="765" ht="14.25" customHeight="1">
      <c r="V765" s="25"/>
      <c r="W765" s="25"/>
      <c r="X765" s="25"/>
      <c r="Y765" s="25"/>
    </row>
    <row r="766" ht="14.25" customHeight="1">
      <c r="V766" s="25"/>
      <c r="W766" s="25"/>
      <c r="X766" s="25"/>
      <c r="Y766" s="25"/>
    </row>
    <row r="767" ht="14.25" customHeight="1">
      <c r="V767" s="25"/>
      <c r="W767" s="25"/>
      <c r="X767" s="25"/>
      <c r="Y767" s="25"/>
    </row>
    <row r="768" ht="14.25" customHeight="1">
      <c r="V768" s="25"/>
      <c r="W768" s="25"/>
      <c r="X768" s="25"/>
      <c r="Y768" s="25"/>
    </row>
    <row r="769" ht="14.25" customHeight="1">
      <c r="V769" s="25"/>
      <c r="W769" s="25"/>
      <c r="X769" s="25"/>
      <c r="Y769" s="25"/>
    </row>
    <row r="770" ht="14.25" customHeight="1">
      <c r="V770" s="25"/>
      <c r="W770" s="25"/>
      <c r="X770" s="25"/>
      <c r="Y770" s="25"/>
    </row>
    <row r="771" ht="14.25" customHeight="1">
      <c r="V771" s="25"/>
      <c r="W771" s="25"/>
      <c r="X771" s="25"/>
      <c r="Y771" s="25"/>
    </row>
    <row r="772" ht="14.25" customHeight="1">
      <c r="V772" s="25"/>
      <c r="W772" s="25"/>
      <c r="X772" s="25"/>
      <c r="Y772" s="25"/>
    </row>
    <row r="773" ht="14.25" customHeight="1">
      <c r="V773" s="25"/>
      <c r="W773" s="25"/>
      <c r="X773" s="25"/>
      <c r="Y773" s="25"/>
    </row>
    <row r="774" ht="14.25" customHeight="1">
      <c r="V774" s="25"/>
      <c r="W774" s="25"/>
      <c r="X774" s="25"/>
      <c r="Y774" s="25"/>
    </row>
    <row r="775" ht="14.25" customHeight="1">
      <c r="V775" s="25"/>
      <c r="W775" s="25"/>
      <c r="X775" s="25"/>
      <c r="Y775" s="25"/>
    </row>
    <row r="776" ht="14.25" customHeight="1">
      <c r="V776" s="25"/>
      <c r="W776" s="25"/>
      <c r="X776" s="25"/>
      <c r="Y776" s="25"/>
    </row>
    <row r="777" ht="14.25" customHeight="1">
      <c r="V777" s="25"/>
      <c r="W777" s="25"/>
      <c r="X777" s="25"/>
      <c r="Y777" s="25"/>
    </row>
    <row r="778" ht="14.25" customHeight="1">
      <c r="V778" s="25"/>
      <c r="W778" s="25"/>
      <c r="X778" s="25"/>
      <c r="Y778" s="25"/>
    </row>
    <row r="779" ht="14.25" customHeight="1">
      <c r="V779" s="25"/>
      <c r="W779" s="25"/>
      <c r="X779" s="25"/>
      <c r="Y779" s="25"/>
    </row>
    <row r="780" ht="14.25" customHeight="1">
      <c r="V780" s="25"/>
      <c r="W780" s="25"/>
      <c r="X780" s="25"/>
      <c r="Y780" s="25"/>
    </row>
    <row r="781" ht="14.25" customHeight="1">
      <c r="V781" s="25"/>
      <c r="W781" s="25"/>
      <c r="X781" s="25"/>
      <c r="Y781" s="25"/>
    </row>
    <row r="782" ht="14.25" customHeight="1">
      <c r="V782" s="25"/>
      <c r="W782" s="25"/>
      <c r="X782" s="25"/>
      <c r="Y782" s="25"/>
    </row>
    <row r="783" ht="14.25" customHeight="1">
      <c r="V783" s="25"/>
      <c r="W783" s="25"/>
      <c r="X783" s="25"/>
      <c r="Y783" s="25"/>
    </row>
    <row r="784" ht="14.25" customHeight="1">
      <c r="V784" s="25"/>
      <c r="W784" s="25"/>
      <c r="X784" s="25"/>
      <c r="Y784" s="25"/>
    </row>
    <row r="785" ht="14.25" customHeight="1">
      <c r="V785" s="25"/>
      <c r="W785" s="25"/>
      <c r="X785" s="25"/>
      <c r="Y785" s="25"/>
    </row>
    <row r="786" ht="14.25" customHeight="1">
      <c r="V786" s="25"/>
      <c r="W786" s="25"/>
      <c r="X786" s="25"/>
      <c r="Y786" s="25"/>
    </row>
    <row r="787" ht="14.25" customHeight="1">
      <c r="V787" s="25"/>
      <c r="W787" s="25"/>
      <c r="X787" s="25"/>
      <c r="Y787" s="25"/>
    </row>
    <row r="788" ht="14.25" customHeight="1">
      <c r="V788" s="25"/>
      <c r="W788" s="25"/>
      <c r="X788" s="25"/>
      <c r="Y788" s="25"/>
    </row>
    <row r="789" ht="14.25" customHeight="1">
      <c r="V789" s="25"/>
      <c r="W789" s="25"/>
      <c r="X789" s="25"/>
      <c r="Y789" s="25"/>
    </row>
    <row r="790" ht="14.25" customHeight="1">
      <c r="V790" s="25"/>
      <c r="W790" s="25"/>
      <c r="X790" s="25"/>
      <c r="Y790" s="25"/>
    </row>
    <row r="791" ht="14.25" customHeight="1">
      <c r="V791" s="25"/>
      <c r="W791" s="25"/>
      <c r="X791" s="25"/>
      <c r="Y791" s="25"/>
    </row>
    <row r="792" ht="14.25" customHeight="1">
      <c r="V792" s="25"/>
      <c r="W792" s="25"/>
      <c r="X792" s="25"/>
      <c r="Y792" s="25"/>
    </row>
    <row r="793" ht="14.25" customHeight="1">
      <c r="V793" s="25"/>
      <c r="W793" s="25"/>
      <c r="X793" s="25"/>
      <c r="Y793" s="25"/>
    </row>
    <row r="794" ht="14.25" customHeight="1">
      <c r="V794" s="25"/>
      <c r="W794" s="25"/>
      <c r="X794" s="25"/>
      <c r="Y794" s="25"/>
    </row>
    <row r="795" ht="14.25" customHeight="1">
      <c r="V795" s="25"/>
      <c r="W795" s="25"/>
      <c r="X795" s="25"/>
      <c r="Y795" s="25"/>
    </row>
    <row r="796" ht="14.25" customHeight="1">
      <c r="V796" s="25"/>
      <c r="W796" s="25"/>
      <c r="X796" s="25"/>
      <c r="Y796" s="25"/>
    </row>
    <row r="797" ht="14.25" customHeight="1">
      <c r="V797" s="25"/>
      <c r="W797" s="25"/>
      <c r="X797" s="25"/>
      <c r="Y797" s="25"/>
    </row>
    <row r="798" ht="14.25" customHeight="1">
      <c r="V798" s="25"/>
      <c r="W798" s="25"/>
      <c r="X798" s="25"/>
      <c r="Y798" s="25"/>
    </row>
    <row r="799" ht="14.25" customHeight="1">
      <c r="V799" s="25"/>
      <c r="W799" s="25"/>
      <c r="X799" s="25"/>
      <c r="Y799" s="25"/>
    </row>
    <row r="800" ht="14.25" customHeight="1">
      <c r="V800" s="25"/>
      <c r="W800" s="25"/>
      <c r="X800" s="25"/>
      <c r="Y800" s="25"/>
    </row>
    <row r="801" ht="14.25" customHeight="1">
      <c r="V801" s="25"/>
      <c r="W801" s="25"/>
      <c r="X801" s="25"/>
      <c r="Y801" s="25"/>
    </row>
    <row r="802" ht="14.25" customHeight="1">
      <c r="V802" s="25"/>
      <c r="W802" s="25"/>
      <c r="X802" s="25"/>
      <c r="Y802" s="25"/>
    </row>
    <row r="803" ht="14.25" customHeight="1">
      <c r="V803" s="25"/>
      <c r="W803" s="25"/>
      <c r="X803" s="25"/>
      <c r="Y803" s="25"/>
    </row>
    <row r="804" ht="14.25" customHeight="1">
      <c r="V804" s="25"/>
      <c r="W804" s="25"/>
      <c r="X804" s="25"/>
      <c r="Y804" s="25"/>
    </row>
    <row r="805" ht="14.25" customHeight="1">
      <c r="V805" s="25"/>
      <c r="W805" s="25"/>
      <c r="X805" s="25"/>
      <c r="Y805" s="25"/>
    </row>
    <row r="806" ht="14.25" customHeight="1">
      <c r="V806" s="25"/>
      <c r="W806" s="25"/>
      <c r="X806" s="25"/>
      <c r="Y806" s="25"/>
    </row>
    <row r="807" ht="14.25" customHeight="1">
      <c r="V807" s="25"/>
      <c r="W807" s="25"/>
      <c r="X807" s="25"/>
      <c r="Y807" s="25"/>
    </row>
    <row r="808" ht="14.25" customHeight="1">
      <c r="V808" s="25"/>
      <c r="W808" s="25"/>
      <c r="X808" s="25"/>
      <c r="Y808" s="25"/>
    </row>
    <row r="809" ht="14.25" customHeight="1">
      <c r="V809" s="25"/>
      <c r="W809" s="25"/>
      <c r="X809" s="25"/>
      <c r="Y809" s="25"/>
    </row>
    <row r="810" ht="14.25" customHeight="1">
      <c r="V810" s="25"/>
      <c r="W810" s="25"/>
      <c r="X810" s="25"/>
      <c r="Y810" s="25"/>
    </row>
    <row r="811" ht="14.25" customHeight="1">
      <c r="V811" s="25"/>
      <c r="W811" s="25"/>
      <c r="X811" s="25"/>
      <c r="Y811" s="25"/>
    </row>
    <row r="812" ht="14.25" customHeight="1">
      <c r="V812" s="25"/>
      <c r="W812" s="25"/>
      <c r="X812" s="25"/>
      <c r="Y812" s="25"/>
    </row>
    <row r="813" ht="14.25" customHeight="1">
      <c r="V813" s="25"/>
      <c r="W813" s="25"/>
      <c r="X813" s="25"/>
      <c r="Y813" s="25"/>
    </row>
    <row r="814" ht="14.25" customHeight="1">
      <c r="V814" s="25"/>
      <c r="W814" s="25"/>
      <c r="X814" s="25"/>
      <c r="Y814" s="25"/>
    </row>
    <row r="815" ht="14.25" customHeight="1">
      <c r="V815" s="25"/>
      <c r="W815" s="25"/>
      <c r="X815" s="25"/>
      <c r="Y815" s="25"/>
    </row>
    <row r="816" ht="14.25" customHeight="1">
      <c r="V816" s="25"/>
      <c r="W816" s="25"/>
      <c r="X816" s="25"/>
      <c r="Y816" s="25"/>
    </row>
    <row r="817" ht="14.25" customHeight="1">
      <c r="V817" s="25"/>
      <c r="W817" s="25"/>
      <c r="X817" s="25"/>
      <c r="Y817" s="25"/>
    </row>
    <row r="818" ht="14.25" customHeight="1">
      <c r="V818" s="25"/>
      <c r="W818" s="25"/>
      <c r="X818" s="25"/>
      <c r="Y818" s="25"/>
    </row>
    <row r="819" ht="14.25" customHeight="1">
      <c r="V819" s="25"/>
      <c r="W819" s="25"/>
      <c r="X819" s="25"/>
      <c r="Y819" s="25"/>
    </row>
    <row r="820" ht="14.25" customHeight="1">
      <c r="V820" s="25"/>
      <c r="W820" s="25"/>
      <c r="X820" s="25"/>
      <c r="Y820" s="25"/>
    </row>
    <row r="821" ht="14.25" customHeight="1">
      <c r="V821" s="25"/>
      <c r="W821" s="25"/>
      <c r="X821" s="25"/>
      <c r="Y821" s="25"/>
    </row>
    <row r="822" ht="14.25" customHeight="1">
      <c r="V822" s="25"/>
      <c r="W822" s="25"/>
      <c r="X822" s="25"/>
      <c r="Y822" s="25"/>
    </row>
    <row r="823" ht="14.25" customHeight="1">
      <c r="V823" s="25"/>
      <c r="W823" s="25"/>
      <c r="X823" s="25"/>
      <c r="Y823" s="25"/>
    </row>
    <row r="824" ht="14.25" customHeight="1">
      <c r="V824" s="25"/>
      <c r="W824" s="25"/>
      <c r="X824" s="25"/>
      <c r="Y824" s="25"/>
    </row>
    <row r="825" ht="14.25" customHeight="1">
      <c r="V825" s="25"/>
      <c r="W825" s="25"/>
      <c r="X825" s="25"/>
      <c r="Y825" s="25"/>
    </row>
    <row r="826" ht="14.25" customHeight="1">
      <c r="V826" s="25"/>
      <c r="W826" s="25"/>
      <c r="X826" s="25"/>
      <c r="Y826" s="25"/>
    </row>
    <row r="827" ht="14.25" customHeight="1">
      <c r="V827" s="25"/>
      <c r="W827" s="25"/>
      <c r="X827" s="25"/>
      <c r="Y827" s="25"/>
    </row>
    <row r="828" ht="14.25" customHeight="1">
      <c r="V828" s="25"/>
      <c r="W828" s="25"/>
      <c r="X828" s="25"/>
      <c r="Y828" s="25"/>
    </row>
    <row r="829" ht="14.25" customHeight="1">
      <c r="V829" s="25"/>
      <c r="W829" s="25"/>
      <c r="X829" s="25"/>
      <c r="Y829" s="25"/>
    </row>
    <row r="830" ht="14.25" customHeight="1">
      <c r="V830" s="25"/>
      <c r="W830" s="25"/>
      <c r="X830" s="25"/>
      <c r="Y830" s="25"/>
    </row>
    <row r="831" ht="14.25" customHeight="1">
      <c r="V831" s="25"/>
      <c r="W831" s="25"/>
      <c r="X831" s="25"/>
      <c r="Y831" s="25"/>
    </row>
    <row r="832" ht="14.25" customHeight="1">
      <c r="V832" s="25"/>
      <c r="W832" s="25"/>
      <c r="X832" s="25"/>
      <c r="Y832" s="25"/>
    </row>
    <row r="833" ht="14.25" customHeight="1">
      <c r="V833" s="25"/>
      <c r="W833" s="25"/>
      <c r="X833" s="25"/>
      <c r="Y833" s="25"/>
    </row>
    <row r="834" ht="14.25" customHeight="1">
      <c r="V834" s="25"/>
      <c r="W834" s="25"/>
      <c r="X834" s="25"/>
      <c r="Y834" s="25"/>
    </row>
    <row r="835" ht="14.25" customHeight="1">
      <c r="V835" s="25"/>
      <c r="W835" s="25"/>
      <c r="X835" s="25"/>
      <c r="Y835" s="25"/>
    </row>
    <row r="836" ht="14.25" customHeight="1">
      <c r="V836" s="25"/>
      <c r="W836" s="25"/>
      <c r="X836" s="25"/>
      <c r="Y836" s="25"/>
    </row>
    <row r="837" ht="14.25" customHeight="1">
      <c r="V837" s="25"/>
      <c r="W837" s="25"/>
      <c r="X837" s="25"/>
      <c r="Y837" s="25"/>
    </row>
    <row r="838" ht="14.25" customHeight="1">
      <c r="V838" s="25"/>
      <c r="W838" s="25"/>
      <c r="X838" s="25"/>
      <c r="Y838" s="25"/>
    </row>
    <row r="839" ht="14.25" customHeight="1">
      <c r="V839" s="25"/>
      <c r="W839" s="25"/>
      <c r="X839" s="25"/>
      <c r="Y839" s="25"/>
    </row>
    <row r="840" ht="14.25" customHeight="1">
      <c r="V840" s="25"/>
      <c r="W840" s="25"/>
      <c r="X840" s="25"/>
      <c r="Y840" s="25"/>
    </row>
    <row r="841" ht="14.25" customHeight="1">
      <c r="V841" s="25"/>
      <c r="W841" s="25"/>
      <c r="X841" s="25"/>
      <c r="Y841" s="25"/>
    </row>
    <row r="842" ht="14.25" customHeight="1">
      <c r="V842" s="25"/>
      <c r="W842" s="25"/>
      <c r="X842" s="25"/>
      <c r="Y842" s="25"/>
    </row>
    <row r="843" ht="14.25" customHeight="1">
      <c r="V843" s="25"/>
      <c r="W843" s="25"/>
      <c r="X843" s="25"/>
      <c r="Y843" s="25"/>
    </row>
    <row r="844" ht="14.25" customHeight="1">
      <c r="V844" s="25"/>
      <c r="W844" s="25"/>
      <c r="X844" s="25"/>
      <c r="Y844" s="25"/>
    </row>
    <row r="845" ht="14.25" customHeight="1">
      <c r="V845" s="25"/>
      <c r="W845" s="25"/>
      <c r="X845" s="25"/>
      <c r="Y845" s="25"/>
    </row>
    <row r="846" ht="14.25" customHeight="1">
      <c r="V846" s="25"/>
      <c r="W846" s="25"/>
      <c r="X846" s="25"/>
      <c r="Y846" s="25"/>
    </row>
    <row r="847" ht="14.25" customHeight="1">
      <c r="V847" s="25"/>
      <c r="W847" s="25"/>
      <c r="X847" s="25"/>
      <c r="Y847" s="25"/>
    </row>
    <row r="848" ht="14.25" customHeight="1">
      <c r="V848" s="25"/>
      <c r="W848" s="25"/>
      <c r="X848" s="25"/>
      <c r="Y848" s="25"/>
    </row>
    <row r="849" ht="14.25" customHeight="1">
      <c r="V849" s="25"/>
      <c r="W849" s="25"/>
      <c r="X849" s="25"/>
      <c r="Y849" s="25"/>
    </row>
    <row r="850" ht="14.25" customHeight="1">
      <c r="V850" s="25"/>
      <c r="W850" s="25"/>
      <c r="X850" s="25"/>
      <c r="Y850" s="25"/>
    </row>
    <row r="851" ht="14.25" customHeight="1">
      <c r="V851" s="25"/>
      <c r="W851" s="25"/>
      <c r="X851" s="25"/>
      <c r="Y851" s="25"/>
    </row>
    <row r="852" ht="14.25" customHeight="1">
      <c r="V852" s="25"/>
      <c r="W852" s="25"/>
      <c r="X852" s="25"/>
      <c r="Y852" s="25"/>
    </row>
    <row r="853" ht="14.25" customHeight="1">
      <c r="V853" s="25"/>
      <c r="W853" s="25"/>
      <c r="X853" s="25"/>
      <c r="Y853" s="25"/>
    </row>
    <row r="854" ht="14.25" customHeight="1">
      <c r="V854" s="25"/>
      <c r="W854" s="25"/>
      <c r="X854" s="25"/>
      <c r="Y854" s="25"/>
    </row>
    <row r="855" ht="14.25" customHeight="1">
      <c r="V855" s="25"/>
      <c r="W855" s="25"/>
      <c r="X855" s="25"/>
      <c r="Y855" s="25"/>
    </row>
    <row r="856" ht="14.25" customHeight="1">
      <c r="V856" s="25"/>
      <c r="W856" s="25"/>
      <c r="X856" s="25"/>
      <c r="Y856" s="25"/>
    </row>
    <row r="857" ht="14.25" customHeight="1">
      <c r="V857" s="25"/>
      <c r="W857" s="25"/>
      <c r="X857" s="25"/>
      <c r="Y857" s="25"/>
    </row>
    <row r="858" ht="14.25" customHeight="1">
      <c r="V858" s="25"/>
      <c r="W858" s="25"/>
      <c r="X858" s="25"/>
      <c r="Y858" s="25"/>
    </row>
    <row r="859" ht="14.25" customHeight="1">
      <c r="V859" s="25"/>
      <c r="W859" s="25"/>
      <c r="X859" s="25"/>
      <c r="Y859" s="25"/>
    </row>
    <row r="860" ht="14.25" customHeight="1">
      <c r="V860" s="25"/>
      <c r="W860" s="25"/>
      <c r="X860" s="25"/>
      <c r="Y860" s="25"/>
    </row>
    <row r="861" ht="14.25" customHeight="1">
      <c r="V861" s="25"/>
      <c r="W861" s="25"/>
      <c r="X861" s="25"/>
      <c r="Y861" s="25"/>
    </row>
    <row r="862" ht="14.25" customHeight="1">
      <c r="V862" s="25"/>
      <c r="W862" s="25"/>
      <c r="X862" s="25"/>
      <c r="Y862" s="25"/>
    </row>
    <row r="863" ht="14.25" customHeight="1">
      <c r="V863" s="25"/>
      <c r="W863" s="25"/>
      <c r="X863" s="25"/>
      <c r="Y863" s="25"/>
    </row>
    <row r="864" ht="14.25" customHeight="1">
      <c r="V864" s="25"/>
      <c r="W864" s="25"/>
      <c r="X864" s="25"/>
      <c r="Y864" s="25"/>
    </row>
    <row r="865" ht="14.25" customHeight="1">
      <c r="V865" s="25"/>
      <c r="W865" s="25"/>
      <c r="X865" s="25"/>
      <c r="Y865" s="25"/>
    </row>
    <row r="866" ht="14.25" customHeight="1">
      <c r="V866" s="25"/>
      <c r="W866" s="25"/>
      <c r="X866" s="25"/>
      <c r="Y866" s="25"/>
    </row>
    <row r="867" ht="14.25" customHeight="1">
      <c r="V867" s="25"/>
      <c r="W867" s="25"/>
      <c r="X867" s="25"/>
      <c r="Y867" s="25"/>
    </row>
    <row r="868" ht="14.25" customHeight="1">
      <c r="V868" s="25"/>
      <c r="W868" s="25"/>
      <c r="X868" s="25"/>
      <c r="Y868" s="25"/>
    </row>
    <row r="869" ht="14.25" customHeight="1">
      <c r="V869" s="25"/>
      <c r="W869" s="25"/>
      <c r="X869" s="25"/>
      <c r="Y869" s="25"/>
    </row>
    <row r="870" ht="14.25" customHeight="1">
      <c r="V870" s="25"/>
      <c r="W870" s="25"/>
      <c r="X870" s="25"/>
      <c r="Y870" s="25"/>
    </row>
    <row r="871" ht="14.25" customHeight="1">
      <c r="V871" s="25"/>
      <c r="W871" s="25"/>
      <c r="X871" s="25"/>
      <c r="Y871" s="25"/>
    </row>
    <row r="872" ht="14.25" customHeight="1">
      <c r="V872" s="25"/>
      <c r="W872" s="25"/>
      <c r="X872" s="25"/>
      <c r="Y872" s="25"/>
    </row>
    <row r="873" ht="14.25" customHeight="1">
      <c r="V873" s="25"/>
      <c r="W873" s="25"/>
      <c r="X873" s="25"/>
      <c r="Y873" s="25"/>
    </row>
    <row r="874" ht="14.25" customHeight="1">
      <c r="V874" s="25"/>
      <c r="W874" s="25"/>
      <c r="X874" s="25"/>
      <c r="Y874" s="25"/>
    </row>
    <row r="875" ht="14.25" customHeight="1">
      <c r="V875" s="25"/>
      <c r="W875" s="25"/>
      <c r="X875" s="25"/>
      <c r="Y875" s="25"/>
    </row>
    <row r="876" ht="14.25" customHeight="1">
      <c r="V876" s="25"/>
      <c r="W876" s="25"/>
      <c r="X876" s="25"/>
      <c r="Y876" s="25"/>
    </row>
    <row r="877" ht="14.25" customHeight="1">
      <c r="V877" s="25"/>
      <c r="W877" s="25"/>
      <c r="X877" s="25"/>
      <c r="Y877" s="25"/>
    </row>
    <row r="878" ht="14.25" customHeight="1">
      <c r="V878" s="25"/>
      <c r="W878" s="25"/>
      <c r="X878" s="25"/>
      <c r="Y878" s="25"/>
    </row>
    <row r="879" ht="14.25" customHeight="1">
      <c r="V879" s="25"/>
      <c r="W879" s="25"/>
      <c r="X879" s="25"/>
      <c r="Y879" s="25"/>
    </row>
    <row r="880" ht="14.25" customHeight="1">
      <c r="V880" s="25"/>
      <c r="W880" s="25"/>
      <c r="X880" s="25"/>
      <c r="Y880" s="25"/>
    </row>
    <row r="881" ht="14.25" customHeight="1">
      <c r="V881" s="25"/>
      <c r="W881" s="25"/>
      <c r="X881" s="25"/>
      <c r="Y881" s="25"/>
    </row>
    <row r="882" ht="14.25" customHeight="1">
      <c r="V882" s="25"/>
      <c r="W882" s="25"/>
      <c r="X882" s="25"/>
      <c r="Y882" s="25"/>
    </row>
    <row r="883" ht="14.25" customHeight="1">
      <c r="V883" s="25"/>
      <c r="W883" s="25"/>
      <c r="X883" s="25"/>
      <c r="Y883" s="25"/>
    </row>
    <row r="884" ht="14.25" customHeight="1">
      <c r="V884" s="25"/>
      <c r="W884" s="25"/>
      <c r="X884" s="25"/>
      <c r="Y884" s="25"/>
    </row>
    <row r="885" ht="14.25" customHeight="1">
      <c r="V885" s="25"/>
      <c r="W885" s="25"/>
      <c r="X885" s="25"/>
      <c r="Y885" s="25"/>
    </row>
    <row r="886" ht="14.25" customHeight="1">
      <c r="V886" s="25"/>
      <c r="W886" s="25"/>
      <c r="X886" s="25"/>
      <c r="Y886" s="25"/>
    </row>
    <row r="887" ht="14.25" customHeight="1">
      <c r="V887" s="25"/>
      <c r="W887" s="25"/>
      <c r="X887" s="25"/>
      <c r="Y887" s="25"/>
    </row>
    <row r="888" ht="14.25" customHeight="1">
      <c r="V888" s="25"/>
      <c r="W888" s="25"/>
      <c r="X888" s="25"/>
      <c r="Y888" s="25"/>
    </row>
    <row r="889" ht="14.25" customHeight="1">
      <c r="V889" s="25"/>
      <c r="W889" s="25"/>
      <c r="X889" s="25"/>
      <c r="Y889" s="25"/>
    </row>
    <row r="890" ht="14.25" customHeight="1">
      <c r="V890" s="25"/>
      <c r="W890" s="25"/>
      <c r="X890" s="25"/>
      <c r="Y890" s="25"/>
    </row>
    <row r="891" ht="14.25" customHeight="1">
      <c r="V891" s="25"/>
      <c r="W891" s="25"/>
      <c r="X891" s="25"/>
      <c r="Y891" s="25"/>
    </row>
    <row r="892" ht="14.25" customHeight="1">
      <c r="V892" s="25"/>
      <c r="W892" s="25"/>
      <c r="X892" s="25"/>
      <c r="Y892" s="25"/>
    </row>
    <row r="893" ht="14.25" customHeight="1">
      <c r="V893" s="25"/>
      <c r="W893" s="25"/>
      <c r="X893" s="25"/>
      <c r="Y893" s="25"/>
    </row>
    <row r="894" ht="14.25" customHeight="1">
      <c r="V894" s="25"/>
      <c r="W894" s="25"/>
      <c r="X894" s="25"/>
      <c r="Y894" s="25"/>
    </row>
    <row r="895" ht="14.25" customHeight="1">
      <c r="V895" s="25"/>
      <c r="W895" s="25"/>
      <c r="X895" s="25"/>
      <c r="Y895" s="25"/>
    </row>
    <row r="896" ht="14.25" customHeight="1">
      <c r="V896" s="25"/>
      <c r="W896" s="25"/>
      <c r="X896" s="25"/>
      <c r="Y896" s="25"/>
    </row>
    <row r="897" ht="14.25" customHeight="1">
      <c r="V897" s="25"/>
      <c r="W897" s="25"/>
      <c r="X897" s="25"/>
      <c r="Y897" s="25"/>
    </row>
    <row r="898" ht="14.25" customHeight="1">
      <c r="V898" s="25"/>
      <c r="W898" s="25"/>
      <c r="X898" s="25"/>
      <c r="Y898" s="25"/>
    </row>
    <row r="899" ht="14.25" customHeight="1">
      <c r="V899" s="25"/>
      <c r="W899" s="25"/>
      <c r="X899" s="25"/>
      <c r="Y899" s="25"/>
    </row>
    <row r="900" ht="14.25" customHeight="1">
      <c r="V900" s="25"/>
      <c r="W900" s="25"/>
      <c r="X900" s="25"/>
      <c r="Y900" s="25"/>
    </row>
    <row r="901" ht="14.25" customHeight="1">
      <c r="V901" s="25"/>
      <c r="W901" s="25"/>
      <c r="X901" s="25"/>
      <c r="Y901" s="25"/>
    </row>
    <row r="902" ht="14.25" customHeight="1">
      <c r="V902" s="25"/>
      <c r="W902" s="25"/>
      <c r="X902" s="25"/>
      <c r="Y902" s="25"/>
    </row>
    <row r="903" ht="14.25" customHeight="1">
      <c r="V903" s="25"/>
      <c r="W903" s="25"/>
      <c r="X903" s="25"/>
      <c r="Y903" s="25"/>
    </row>
    <row r="904" ht="14.25" customHeight="1">
      <c r="V904" s="25"/>
      <c r="W904" s="25"/>
      <c r="X904" s="25"/>
      <c r="Y904" s="25"/>
    </row>
    <row r="905" ht="14.25" customHeight="1">
      <c r="V905" s="25"/>
      <c r="W905" s="25"/>
      <c r="X905" s="25"/>
      <c r="Y905" s="25"/>
    </row>
    <row r="906" ht="14.25" customHeight="1">
      <c r="V906" s="25"/>
      <c r="W906" s="25"/>
      <c r="X906" s="25"/>
      <c r="Y906" s="25"/>
    </row>
    <row r="907" ht="14.25" customHeight="1">
      <c r="V907" s="25"/>
      <c r="W907" s="25"/>
      <c r="X907" s="25"/>
      <c r="Y907" s="25"/>
    </row>
    <row r="908" ht="14.25" customHeight="1">
      <c r="V908" s="25"/>
      <c r="W908" s="25"/>
      <c r="X908" s="25"/>
      <c r="Y908" s="25"/>
    </row>
    <row r="909" ht="14.25" customHeight="1">
      <c r="V909" s="25"/>
      <c r="W909" s="25"/>
      <c r="X909" s="25"/>
      <c r="Y909" s="25"/>
    </row>
    <row r="910" ht="14.25" customHeight="1">
      <c r="V910" s="25"/>
      <c r="W910" s="25"/>
      <c r="X910" s="25"/>
      <c r="Y910" s="25"/>
    </row>
    <row r="911" ht="14.25" customHeight="1">
      <c r="V911" s="25"/>
      <c r="W911" s="25"/>
      <c r="X911" s="25"/>
      <c r="Y911" s="25"/>
    </row>
    <row r="912" ht="14.25" customHeight="1">
      <c r="V912" s="25"/>
      <c r="W912" s="25"/>
      <c r="X912" s="25"/>
      <c r="Y912" s="25"/>
    </row>
    <row r="913" ht="14.25" customHeight="1">
      <c r="V913" s="25"/>
      <c r="W913" s="25"/>
      <c r="X913" s="25"/>
      <c r="Y913" s="25"/>
    </row>
    <row r="914" ht="14.25" customHeight="1">
      <c r="V914" s="25"/>
      <c r="W914" s="25"/>
      <c r="X914" s="25"/>
      <c r="Y914" s="25"/>
    </row>
    <row r="915" ht="14.25" customHeight="1">
      <c r="V915" s="25"/>
      <c r="W915" s="25"/>
      <c r="X915" s="25"/>
      <c r="Y915" s="25"/>
    </row>
    <row r="916" ht="14.25" customHeight="1">
      <c r="V916" s="25"/>
      <c r="W916" s="25"/>
      <c r="X916" s="25"/>
      <c r="Y916" s="25"/>
    </row>
    <row r="917" ht="14.25" customHeight="1">
      <c r="V917" s="25"/>
      <c r="W917" s="25"/>
      <c r="X917" s="25"/>
      <c r="Y917" s="25"/>
    </row>
    <row r="918" ht="14.25" customHeight="1">
      <c r="V918" s="25"/>
      <c r="W918" s="25"/>
      <c r="X918" s="25"/>
      <c r="Y918" s="25"/>
    </row>
    <row r="919" ht="14.25" customHeight="1">
      <c r="V919" s="25"/>
      <c r="W919" s="25"/>
      <c r="X919" s="25"/>
      <c r="Y919" s="25"/>
    </row>
    <row r="920" ht="14.25" customHeight="1">
      <c r="V920" s="25"/>
      <c r="W920" s="25"/>
      <c r="X920" s="25"/>
      <c r="Y920" s="25"/>
    </row>
    <row r="921" ht="14.25" customHeight="1">
      <c r="V921" s="25"/>
      <c r="W921" s="25"/>
      <c r="X921" s="25"/>
      <c r="Y921" s="25"/>
    </row>
    <row r="922" ht="14.25" customHeight="1">
      <c r="V922" s="25"/>
      <c r="W922" s="25"/>
      <c r="X922" s="25"/>
      <c r="Y922" s="25"/>
    </row>
    <row r="923" ht="14.25" customHeight="1">
      <c r="V923" s="25"/>
      <c r="W923" s="25"/>
      <c r="X923" s="25"/>
      <c r="Y923" s="25"/>
    </row>
    <row r="924" ht="14.25" customHeight="1">
      <c r="V924" s="25"/>
      <c r="W924" s="25"/>
      <c r="X924" s="25"/>
      <c r="Y924" s="25"/>
    </row>
    <row r="925" ht="14.25" customHeight="1">
      <c r="V925" s="25"/>
      <c r="W925" s="25"/>
      <c r="X925" s="25"/>
      <c r="Y925" s="25"/>
    </row>
    <row r="926" ht="14.25" customHeight="1">
      <c r="V926" s="25"/>
      <c r="W926" s="25"/>
      <c r="X926" s="25"/>
      <c r="Y926" s="25"/>
    </row>
    <row r="927" ht="14.25" customHeight="1">
      <c r="V927" s="25"/>
      <c r="W927" s="25"/>
      <c r="X927" s="25"/>
      <c r="Y927" s="25"/>
    </row>
    <row r="928" ht="14.25" customHeight="1">
      <c r="V928" s="25"/>
      <c r="W928" s="25"/>
      <c r="X928" s="25"/>
      <c r="Y928" s="25"/>
    </row>
    <row r="929" ht="14.25" customHeight="1">
      <c r="V929" s="25"/>
      <c r="W929" s="25"/>
      <c r="X929" s="25"/>
      <c r="Y929" s="25"/>
    </row>
    <row r="930" ht="14.25" customHeight="1">
      <c r="V930" s="25"/>
      <c r="W930" s="25"/>
      <c r="X930" s="25"/>
      <c r="Y930" s="25"/>
    </row>
    <row r="931" ht="14.25" customHeight="1">
      <c r="V931" s="25"/>
      <c r="W931" s="25"/>
      <c r="X931" s="25"/>
      <c r="Y931" s="25"/>
    </row>
    <row r="932" ht="14.25" customHeight="1">
      <c r="V932" s="25"/>
      <c r="W932" s="25"/>
      <c r="X932" s="25"/>
      <c r="Y932" s="25"/>
    </row>
    <row r="933" ht="14.25" customHeight="1">
      <c r="V933" s="25"/>
      <c r="W933" s="25"/>
      <c r="X933" s="25"/>
      <c r="Y933" s="25"/>
    </row>
    <row r="934" ht="14.25" customHeight="1">
      <c r="V934" s="25"/>
      <c r="W934" s="25"/>
      <c r="X934" s="25"/>
      <c r="Y934" s="25"/>
    </row>
    <row r="935" ht="14.25" customHeight="1">
      <c r="V935" s="25"/>
      <c r="W935" s="25"/>
      <c r="X935" s="25"/>
      <c r="Y935" s="25"/>
    </row>
    <row r="936" ht="14.25" customHeight="1">
      <c r="V936" s="25"/>
      <c r="W936" s="25"/>
      <c r="X936" s="25"/>
      <c r="Y936" s="25"/>
    </row>
    <row r="937" ht="14.25" customHeight="1">
      <c r="V937" s="25"/>
      <c r="W937" s="25"/>
      <c r="X937" s="25"/>
      <c r="Y937" s="25"/>
    </row>
    <row r="938" ht="14.25" customHeight="1">
      <c r="V938" s="25"/>
      <c r="W938" s="25"/>
      <c r="X938" s="25"/>
      <c r="Y938" s="25"/>
    </row>
    <row r="939" ht="14.25" customHeight="1">
      <c r="V939" s="25"/>
      <c r="W939" s="25"/>
      <c r="X939" s="25"/>
      <c r="Y939" s="25"/>
    </row>
    <row r="940" ht="14.25" customHeight="1">
      <c r="V940" s="25"/>
      <c r="W940" s="25"/>
      <c r="X940" s="25"/>
      <c r="Y940" s="25"/>
    </row>
    <row r="941" ht="14.25" customHeight="1">
      <c r="V941" s="25"/>
      <c r="W941" s="25"/>
      <c r="X941" s="25"/>
      <c r="Y941" s="25"/>
    </row>
    <row r="942" ht="14.25" customHeight="1">
      <c r="V942" s="25"/>
      <c r="W942" s="25"/>
      <c r="X942" s="25"/>
      <c r="Y942" s="25"/>
    </row>
    <row r="943" ht="14.25" customHeight="1">
      <c r="V943" s="25"/>
      <c r="W943" s="25"/>
      <c r="X943" s="25"/>
      <c r="Y943" s="25"/>
    </row>
    <row r="944" ht="14.25" customHeight="1">
      <c r="V944" s="25"/>
      <c r="W944" s="25"/>
      <c r="X944" s="25"/>
      <c r="Y944" s="25"/>
    </row>
    <row r="945" ht="14.25" customHeight="1">
      <c r="V945" s="25"/>
      <c r="W945" s="25"/>
      <c r="X945" s="25"/>
      <c r="Y945" s="25"/>
    </row>
    <row r="946" ht="14.25" customHeight="1">
      <c r="V946" s="25"/>
      <c r="W946" s="25"/>
      <c r="X946" s="25"/>
      <c r="Y946" s="25"/>
    </row>
    <row r="947" ht="14.25" customHeight="1">
      <c r="V947" s="25"/>
      <c r="W947" s="25"/>
      <c r="X947" s="25"/>
      <c r="Y947" s="25"/>
    </row>
    <row r="948" ht="14.25" customHeight="1">
      <c r="V948" s="25"/>
      <c r="W948" s="25"/>
      <c r="X948" s="25"/>
      <c r="Y948" s="25"/>
    </row>
    <row r="949" ht="14.25" customHeight="1">
      <c r="V949" s="25"/>
      <c r="W949" s="25"/>
      <c r="X949" s="25"/>
      <c r="Y949" s="25"/>
    </row>
    <row r="950" ht="14.25" customHeight="1">
      <c r="V950" s="25"/>
      <c r="W950" s="25"/>
      <c r="X950" s="25"/>
      <c r="Y950" s="25"/>
    </row>
    <row r="951" ht="14.25" customHeight="1">
      <c r="V951" s="25"/>
      <c r="W951" s="25"/>
      <c r="X951" s="25"/>
      <c r="Y951" s="25"/>
    </row>
    <row r="952" ht="14.25" customHeight="1">
      <c r="V952" s="25"/>
      <c r="W952" s="25"/>
      <c r="X952" s="25"/>
      <c r="Y952" s="25"/>
    </row>
    <row r="953" ht="14.25" customHeight="1">
      <c r="V953" s="25"/>
      <c r="W953" s="25"/>
      <c r="X953" s="25"/>
      <c r="Y953" s="25"/>
    </row>
    <row r="954" ht="14.25" customHeight="1">
      <c r="V954" s="25"/>
      <c r="W954" s="25"/>
      <c r="X954" s="25"/>
      <c r="Y954" s="25"/>
    </row>
    <row r="955" ht="14.25" customHeight="1">
      <c r="V955" s="25"/>
      <c r="W955" s="25"/>
      <c r="X955" s="25"/>
      <c r="Y955" s="25"/>
    </row>
    <row r="956" ht="14.25" customHeight="1">
      <c r="V956" s="25"/>
      <c r="W956" s="25"/>
      <c r="X956" s="25"/>
      <c r="Y956" s="25"/>
    </row>
    <row r="957" ht="14.25" customHeight="1">
      <c r="V957" s="25"/>
      <c r="W957" s="25"/>
      <c r="X957" s="25"/>
      <c r="Y957" s="25"/>
    </row>
    <row r="958" ht="14.25" customHeight="1">
      <c r="V958" s="25"/>
      <c r="W958" s="25"/>
      <c r="X958" s="25"/>
      <c r="Y958" s="25"/>
    </row>
    <row r="959" ht="14.25" customHeight="1">
      <c r="V959" s="25"/>
      <c r="W959" s="25"/>
      <c r="X959" s="25"/>
      <c r="Y959" s="25"/>
    </row>
    <row r="960" ht="14.25" customHeight="1">
      <c r="V960" s="25"/>
      <c r="W960" s="25"/>
      <c r="X960" s="25"/>
      <c r="Y960" s="25"/>
    </row>
    <row r="961" ht="14.25" customHeight="1">
      <c r="V961" s="25"/>
      <c r="W961" s="25"/>
      <c r="X961" s="25"/>
      <c r="Y961" s="25"/>
    </row>
    <row r="962" ht="14.25" customHeight="1">
      <c r="V962" s="25"/>
      <c r="W962" s="25"/>
      <c r="X962" s="25"/>
      <c r="Y962" s="25"/>
    </row>
    <row r="963" ht="14.25" customHeight="1">
      <c r="V963" s="25"/>
      <c r="W963" s="25"/>
      <c r="X963" s="25"/>
      <c r="Y963" s="25"/>
    </row>
    <row r="964" ht="14.25" customHeight="1">
      <c r="V964" s="25"/>
      <c r="W964" s="25"/>
      <c r="X964" s="25"/>
      <c r="Y964" s="25"/>
    </row>
    <row r="965" ht="14.25" customHeight="1">
      <c r="V965" s="25"/>
      <c r="W965" s="25"/>
      <c r="X965" s="25"/>
      <c r="Y965" s="25"/>
    </row>
    <row r="966" ht="14.25" customHeight="1">
      <c r="V966" s="25"/>
      <c r="W966" s="25"/>
      <c r="X966" s="25"/>
      <c r="Y966" s="25"/>
    </row>
    <row r="967" ht="14.25" customHeight="1">
      <c r="V967" s="25"/>
      <c r="W967" s="25"/>
      <c r="X967" s="25"/>
      <c r="Y967" s="25"/>
    </row>
    <row r="968" ht="14.25" customHeight="1">
      <c r="V968" s="25"/>
      <c r="W968" s="25"/>
      <c r="X968" s="25"/>
      <c r="Y968" s="25"/>
    </row>
    <row r="969" ht="14.25" customHeight="1">
      <c r="V969" s="25"/>
      <c r="W969" s="25"/>
      <c r="X969" s="25"/>
      <c r="Y969" s="25"/>
    </row>
    <row r="970" ht="14.25" customHeight="1">
      <c r="V970" s="25"/>
      <c r="W970" s="25"/>
      <c r="X970" s="25"/>
      <c r="Y970" s="25"/>
    </row>
    <row r="971" ht="14.25" customHeight="1">
      <c r="V971" s="25"/>
      <c r="W971" s="25"/>
      <c r="X971" s="25"/>
      <c r="Y971" s="25"/>
    </row>
    <row r="972" ht="14.25" customHeight="1">
      <c r="V972" s="25"/>
      <c r="W972" s="25"/>
      <c r="X972" s="25"/>
      <c r="Y972" s="25"/>
    </row>
    <row r="973" ht="14.25" customHeight="1">
      <c r="V973" s="25"/>
      <c r="W973" s="25"/>
      <c r="X973" s="25"/>
      <c r="Y973" s="25"/>
    </row>
    <row r="974" ht="14.25" customHeight="1">
      <c r="V974" s="25"/>
      <c r="W974" s="25"/>
      <c r="X974" s="25"/>
      <c r="Y974" s="25"/>
    </row>
    <row r="975" ht="14.25" customHeight="1">
      <c r="V975" s="25"/>
      <c r="W975" s="25"/>
      <c r="X975" s="25"/>
      <c r="Y975" s="25"/>
    </row>
    <row r="976" ht="14.25" customHeight="1">
      <c r="V976" s="25"/>
      <c r="W976" s="25"/>
      <c r="X976" s="25"/>
      <c r="Y976" s="25"/>
    </row>
    <row r="977" ht="14.25" customHeight="1">
      <c r="V977" s="25"/>
      <c r="W977" s="25"/>
      <c r="X977" s="25"/>
      <c r="Y977" s="25"/>
    </row>
    <row r="978" ht="14.25" customHeight="1">
      <c r="V978" s="25"/>
      <c r="W978" s="25"/>
      <c r="X978" s="25"/>
      <c r="Y978" s="25"/>
    </row>
    <row r="979" ht="14.25" customHeight="1">
      <c r="V979" s="25"/>
      <c r="W979" s="25"/>
      <c r="X979" s="25"/>
      <c r="Y979" s="25"/>
    </row>
    <row r="980" ht="14.25" customHeight="1">
      <c r="V980" s="25"/>
      <c r="W980" s="25"/>
      <c r="X980" s="25"/>
      <c r="Y980" s="25"/>
    </row>
    <row r="981" ht="14.25" customHeight="1">
      <c r="V981" s="25"/>
      <c r="W981" s="25"/>
      <c r="X981" s="25"/>
      <c r="Y981" s="25"/>
    </row>
    <row r="982" ht="14.25" customHeight="1">
      <c r="V982" s="25"/>
      <c r="W982" s="25"/>
      <c r="X982" s="25"/>
      <c r="Y982" s="25"/>
    </row>
    <row r="983" ht="14.25" customHeight="1">
      <c r="V983" s="25"/>
      <c r="W983" s="25"/>
      <c r="X983" s="25"/>
      <c r="Y983" s="25"/>
    </row>
    <row r="984" ht="14.25" customHeight="1">
      <c r="V984" s="25"/>
      <c r="W984" s="25"/>
      <c r="X984" s="25"/>
      <c r="Y984" s="25"/>
    </row>
    <row r="985" ht="14.25" customHeight="1">
      <c r="V985" s="25"/>
      <c r="W985" s="25"/>
      <c r="X985" s="25"/>
      <c r="Y985" s="25"/>
    </row>
    <row r="986" ht="14.25" customHeight="1">
      <c r="V986" s="25"/>
      <c r="W986" s="25"/>
      <c r="X986" s="25"/>
      <c r="Y986" s="25"/>
    </row>
    <row r="987" ht="14.25" customHeight="1">
      <c r="V987" s="25"/>
      <c r="W987" s="25"/>
      <c r="X987" s="25"/>
      <c r="Y987" s="25"/>
    </row>
    <row r="988" ht="14.25" customHeight="1">
      <c r="V988" s="25"/>
      <c r="W988" s="25"/>
      <c r="X988" s="25"/>
      <c r="Y988" s="25"/>
    </row>
    <row r="989" ht="14.25" customHeight="1">
      <c r="V989" s="25"/>
      <c r="W989" s="25"/>
      <c r="X989" s="25"/>
      <c r="Y989" s="25"/>
    </row>
    <row r="990" ht="14.25" customHeight="1">
      <c r="V990" s="25"/>
      <c r="W990" s="25"/>
      <c r="X990" s="25"/>
      <c r="Y990" s="25"/>
    </row>
    <row r="991" ht="14.25" customHeight="1">
      <c r="V991" s="25"/>
      <c r="W991" s="25"/>
      <c r="X991" s="25"/>
      <c r="Y991" s="25"/>
    </row>
    <row r="992" ht="14.25" customHeight="1">
      <c r="V992" s="25"/>
      <c r="W992" s="25"/>
      <c r="X992" s="25"/>
      <c r="Y992" s="25"/>
    </row>
    <row r="993" ht="14.25" customHeight="1">
      <c r="V993" s="25"/>
      <c r="W993" s="25"/>
      <c r="X993" s="25"/>
      <c r="Y993" s="25"/>
    </row>
    <row r="994" ht="14.25" customHeight="1">
      <c r="V994" s="25"/>
      <c r="W994" s="25"/>
      <c r="X994" s="25"/>
      <c r="Y994" s="25"/>
    </row>
    <row r="995" ht="14.25" customHeight="1">
      <c r="V995" s="25"/>
      <c r="W995" s="25"/>
      <c r="X995" s="25"/>
      <c r="Y995" s="25"/>
    </row>
    <row r="996" ht="14.25" customHeight="1">
      <c r="V996" s="25"/>
      <c r="W996" s="25"/>
      <c r="X996" s="25"/>
      <c r="Y996" s="25"/>
    </row>
    <row r="997" ht="14.25" customHeight="1">
      <c r="V997" s="25"/>
      <c r="W997" s="25"/>
      <c r="X997" s="25"/>
      <c r="Y997" s="25"/>
    </row>
  </sheetData>
  <printOptions/>
  <pageMargins bottom="0.75" footer="0.0" header="0.0" left="0.7" right="0.7" top="0.75"/>
  <pageSetup orientation="landscape"/>
  <drawing r:id="rId1"/>
</worksheet>
</file>